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onent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eyenda" sheetId="3" state="visible" r:id="rId3"/>
  </sheets>
  <definedNames>
    <definedName name="_xlnm._FilterDatabase" localSheetId="0" hidden="1">'Componentes'!$A$1:$K$74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$ &quot;#,##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family val="2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2"/>
    </font>
  </fonts>
  <fills count="5">
    <fill>
      <patternFill/>
    </fill>
    <fill>
      <patternFill patternType="gray125"/>
    </fill>
    <fill>
      <patternFill patternType="solid">
        <fgColor rgb="FF0F7C68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0F7C6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C68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G1" authorId="0" shapeId="0">
      <text>
        <t>Cambiar el estado desde la lista a medida que avanza la compra.</t>
      </text>
    </comment>
    <comment ref="I1" authorId="0" shapeId="0">
      <text>
        <t>Completar a mano con el precio de cada componente (en pesos). El total se calcula solo.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16" min="1" max="1"/>
    <col width="16" customWidth="1" style="16" min="2" max="2"/>
    <col width="24" customWidth="1" style="16" min="3" max="3"/>
    <col width="34" customWidth="1" style="16" min="4" max="4"/>
    <col width="9" customWidth="1" style="16" min="5" max="5"/>
    <col width="38" customWidth="1" style="16" min="6" max="6"/>
    <col width="15" customWidth="1" style="16" min="7" max="7"/>
    <col width="14" customWidth="1" style="16" min="8" max="9"/>
    <col width="13" customWidth="1" style="16" min="10" max="10"/>
    <col width="40" customWidth="1" style="16" min="11" max="11"/>
  </cols>
  <sheetData>
    <row r="1" ht="39.55" customHeight="1" s="17">
      <c r="A1" s="18" t="inlineStr">
        <is>
          <t>#</t>
        </is>
      </c>
      <c r="B1" s="18" t="inlineStr">
        <is>
          <t>Subsistema</t>
        </is>
      </c>
      <c r="C1" s="18" t="inlineStr">
        <is>
          <t>Componente</t>
        </is>
      </c>
      <c r="D1" s="18" t="inlineStr">
        <is>
          <t>Modelo / especificación</t>
        </is>
      </c>
      <c r="E1" s="18" t="inlineStr">
        <is>
          <t>Cantidad</t>
        </is>
      </c>
      <c r="F1" s="18" t="inlineStr">
        <is>
          <t>Para qué</t>
        </is>
      </c>
      <c r="G1" s="18" t="inlineStr">
        <is>
          <t>Estado</t>
        </is>
      </c>
      <c r="H1" s="18" t="inlineStr">
        <is>
          <t>Dónde conseguir</t>
        </is>
      </c>
      <c r="I1" s="18" t="inlineStr">
        <is>
          <t>Precio unitario (ARS)</t>
        </is>
      </c>
      <c r="J1" s="18" t="inlineStr">
        <is>
          <t>Total (ARS)</t>
        </is>
      </c>
      <c r="K1" s="18" t="inlineStr">
        <is>
          <t>Notas</t>
        </is>
      </c>
    </row>
    <row r="2" ht="23.85" customHeight="1" s="17">
      <c r="A2" s="19" t="n">
        <v>1</v>
      </c>
      <c r="B2" s="19" t="inlineStr">
        <is>
          <t>Procesamiento</t>
        </is>
      </c>
      <c r="C2" s="19" t="inlineStr">
        <is>
          <t>Teensy 4.1</t>
        </is>
      </c>
      <c r="D2" s="19" t="inlineStr">
        <is>
          <t>PJRC Teensy 4.1 (600 MHz), puente VIN–VUSB cortado</t>
        </is>
      </c>
      <c r="E2" s="20" t="n">
        <v>1</v>
      </c>
      <c r="F2" s="19" t="inlineStr">
        <is>
          <t>Núcleo: muestreo a 1000 Hz, SD, lógica</t>
        </is>
      </c>
      <c r="G2" s="21" t="inlineStr">
        <is>
          <t>Ya lo tengo</t>
        </is>
      </c>
      <c r="H2" s="19" t="inlineStr">
        <is>
          <t>Importar</t>
        </is>
      </c>
      <c r="I2" s="22" t="n"/>
      <c r="J2" s="23">
        <f>IF(I2="","",E2*I2)</f>
        <v/>
      </c>
      <c r="K2" s="19" t="inlineStr">
        <is>
          <t>Puente VIN–VUSB ya cortado.</t>
        </is>
      </c>
    </row>
    <row r="3" ht="15" customHeight="1" s="17">
      <c r="A3" s="19" t="n">
        <v>2</v>
      </c>
      <c r="B3" s="19" t="inlineStr">
        <is>
          <t>Procesamiento</t>
        </is>
      </c>
      <c r="C3" s="19" t="inlineStr">
        <is>
          <t>Tarjeta microSD</t>
        </is>
      </c>
      <c r="D3" s="19" t="inlineStr">
        <is>
          <t>SanDisk Max Endurance (32–64 GB)</t>
        </is>
      </c>
      <c r="E3" s="20" t="n">
        <v>1</v>
      </c>
      <c r="F3" s="19" t="inlineStr">
        <is>
          <t>Guardar las bajadas .sfb</t>
        </is>
      </c>
      <c r="G3" s="21" t="inlineStr">
        <is>
          <t>Ya lo tengo</t>
        </is>
      </c>
      <c r="H3" s="19" t="inlineStr">
        <is>
          <t>Local</t>
        </is>
      </c>
      <c r="I3" s="22" t="n"/>
      <c r="J3" s="23">
        <f>IF(I3="","",E3*I3)</f>
        <v/>
      </c>
      <c r="K3" s="19" t="n"/>
    </row>
    <row r="4" ht="46.25" customHeight="1" s="17">
      <c r="A4" s="19" t="n">
        <v>3</v>
      </c>
      <c r="B4" s="19" t="inlineStr">
        <is>
          <t>Procesamiento</t>
        </is>
      </c>
      <c r="C4" s="19" t="inlineStr">
        <is>
          <t>Extensor de microSD</t>
        </is>
      </c>
      <c r="D4" s="19" t="inlineStr">
        <is>
          <t>Pinqiongzhe, 10 cm</t>
        </is>
      </c>
      <c r="E4" s="20" t="n">
        <v>1</v>
      </c>
      <c r="F4" s="19" t="inlineStr">
        <is>
          <t>Acceso a la SD desde afuera de la caja</t>
        </is>
      </c>
      <c r="G4" s="21" t="inlineStr">
        <is>
          <t>Ya lo tengo</t>
        </is>
      </c>
      <c r="H4" s="19" t="inlineStr">
        <is>
          <t>Importar</t>
        </is>
      </c>
      <c r="I4" s="22" t="n"/>
      <c r="J4" s="23">
        <f>IF(I4="","",E4*I4)</f>
        <v/>
      </c>
      <c r="K4" s="19" t="inlineStr">
        <is>
          <t>Punto débil con vibración de DH. Usarlo en banco; en pista, SD en la ranura del Teensy trabada con silicona, y bajar por WiFi (ESP32-C3). Revisar si es necesario o conveniente usar</t>
        </is>
      </c>
    </row>
    <row r="5" ht="23.85" customHeight="1" s="17">
      <c r="A5" s="19" t="n">
        <v>4</v>
      </c>
      <c r="B5" s="19" t="inlineStr">
        <is>
          <t>Procesamiento</t>
        </is>
      </c>
      <c r="C5" s="19" t="inlineStr">
        <is>
          <t>Pila del reloj</t>
        </is>
      </c>
      <c r="D5" s="19" t="inlineStr">
        <is>
          <t>CR1220 3 V + portapila</t>
        </is>
      </c>
      <c r="E5" s="20" t="n">
        <v>1</v>
      </c>
      <c r="F5" s="19" t="inlineStr">
        <is>
          <t>Que el reloj siga en hora con el Sender apagado (VBAT)</t>
        </is>
      </c>
      <c r="G5" s="21" t="inlineStr">
        <is>
          <t>Comprar</t>
        </is>
      </c>
      <c r="H5" s="19" t="inlineStr">
        <is>
          <t>Local</t>
        </is>
      </c>
      <c r="I5" s="22" t="n"/>
      <c r="J5" s="23">
        <f>IF(I5="","",E5*I5)</f>
        <v/>
      </c>
      <c r="K5" s="19" t="inlineStr">
        <is>
          <t>Nuevo 26/09.</t>
        </is>
      </c>
    </row>
    <row r="6" ht="15" customHeight="1" s="17">
      <c r="A6" s="19" t="n">
        <v>5</v>
      </c>
      <c r="B6" s="19" t="inlineStr">
        <is>
          <t>Sensores</t>
        </is>
      </c>
      <c r="C6" s="19" t="inlineStr">
        <is>
          <t>Regla horquilla</t>
        </is>
      </c>
      <c r="D6" s="19" t="inlineStr">
        <is>
          <t>KTC-200 (200 mm)</t>
        </is>
      </c>
      <c r="E6" s="20" t="n">
        <v>1</v>
      </c>
      <c r="F6" s="19" t="inlineStr">
        <is>
          <t>Recorrido de la horquilla, 1000 Hz</t>
        </is>
      </c>
      <c r="G6" s="21" t="inlineStr">
        <is>
          <t>Comprar</t>
        </is>
      </c>
      <c r="H6" s="19" t="inlineStr">
        <is>
          <t>Importar</t>
        </is>
      </c>
      <c r="I6" s="22" t="n"/>
      <c r="J6" s="23">
        <f>IF(I6="","",E6*I6)</f>
        <v/>
      </c>
      <c r="K6" s="19" t="n"/>
    </row>
    <row r="7" ht="15" customHeight="1" s="17">
      <c r="A7" s="19" t="n">
        <v>6</v>
      </c>
      <c r="B7" s="19" t="inlineStr">
        <is>
          <t>Sensores</t>
        </is>
      </c>
      <c r="C7" s="19" t="inlineStr">
        <is>
          <t>Regla shock</t>
        </is>
      </c>
      <c r="D7" s="19" t="inlineStr">
        <is>
          <t>KTC-100 (100 mm)</t>
        </is>
      </c>
      <c r="E7" s="20" t="n">
        <v>1</v>
      </c>
      <c r="F7" s="19" t="inlineStr">
        <is>
          <t>Recorrido del shock, 1000 Hz</t>
        </is>
      </c>
      <c r="G7" s="21" t="inlineStr">
        <is>
          <t>Comprar</t>
        </is>
      </c>
      <c r="H7" s="19" t="inlineStr">
        <is>
          <t>Importar</t>
        </is>
      </c>
      <c r="I7" s="22" t="n"/>
      <c r="J7" s="23">
        <f>IF(I7="","",E7*I7)</f>
        <v/>
      </c>
      <c r="K7" s="19" t="n"/>
    </row>
    <row r="8" ht="15" customHeight="1" s="17">
      <c r="A8" s="19" t="n">
        <v>7</v>
      </c>
      <c r="B8" s="19" t="inlineStr">
        <is>
          <t>Sensores</t>
        </is>
      </c>
      <c r="C8" s="19" t="inlineStr">
        <is>
          <t>Acelerómetro de impacto</t>
        </is>
      </c>
      <c r="D8" s="19" t="inlineStr">
        <is>
          <t>ADXL375 (±200 g, SPI)</t>
        </is>
      </c>
      <c r="E8" s="20" t="n">
        <v>1</v>
      </c>
      <c r="F8" s="19" t="inlineStr">
        <is>
          <t>Golpes y topes, 1000 Hz</t>
        </is>
      </c>
      <c r="G8" s="21" t="inlineStr">
        <is>
          <t>Ya lo tengo</t>
        </is>
      </c>
      <c r="H8" s="19" t="inlineStr">
        <is>
          <t>Importar</t>
        </is>
      </c>
      <c r="I8" s="22" t="n"/>
      <c r="J8" s="23">
        <f>IF(I8="","",E8*I8)</f>
        <v/>
      </c>
      <c r="K8" s="19" t="inlineStr">
        <is>
          <t>Firmware lo configura a 1600 Hz.</t>
        </is>
      </c>
    </row>
    <row r="9" ht="23.85" customHeight="1" s="17">
      <c r="A9" s="19" t="n">
        <v>8</v>
      </c>
      <c r="B9" s="19" t="inlineStr">
        <is>
          <t>Sensores</t>
        </is>
      </c>
      <c r="C9" s="19" t="inlineStr">
        <is>
          <t>Acelerómetro + giroscopio (actual)</t>
        </is>
      </c>
      <c r="D9" s="19" t="inlineStr">
        <is>
          <t>MPU-6050 (placa GY-521)</t>
        </is>
      </c>
      <c r="E9" s="20" t="n">
        <v>1</v>
      </c>
      <c r="F9" s="19" t="inlineStr">
        <is>
          <t>Aceleración de baja amplitud/baja frecuencia (chatter, caída libre de los saltos) y giros</t>
        </is>
      </c>
      <c r="G9" s="21" t="inlineStr">
        <is>
          <t>Sacar del diseño</t>
        </is>
      </c>
      <c r="H9" s="19" t="inlineStr">
        <is>
          <t>—</t>
        </is>
      </c>
      <c r="I9" s="22" t="n"/>
      <c r="J9" s="23">
        <f>IF(I9="","",E9*I9)</f>
        <v/>
      </c>
      <c r="K9" s="19" t="inlineStr">
        <is>
          <t>Lo reemplaza un IMU moderno por SPI (fila siguiente). Por I2C tarda ~400 µs por lectura.</t>
        </is>
      </c>
    </row>
    <row r="10" ht="46.25" customHeight="1" s="17">
      <c r="A10" s="19" t="n">
        <v>9</v>
      </c>
      <c r="B10" s="19" t="inlineStr">
        <is>
          <t>Sensores</t>
        </is>
      </c>
      <c r="C10" s="19" t="inlineStr">
        <is>
          <t>Acelerómetro + giroscopio (nuevo)</t>
        </is>
      </c>
      <c r="D10" s="19" t="inlineStr">
        <is>
          <t>ICM-42688-P por SPI (alternativa: LSM6DSO32 Adafruit, ±32 g)</t>
        </is>
      </c>
      <c r="E10" s="20" t="n">
        <v>1</v>
      </c>
      <c r="F10" s="19" t="inlineStr">
        <is>
          <t>Mismo rol que el MPU: lo que el ADXL375 no resuelve (49 mg por cuenta): chatter, caída libre de saltos, giros. 1000 Hz</t>
        </is>
      </c>
      <c r="G10" s="21" t="inlineStr">
        <is>
          <t>Comprar</t>
        </is>
      </c>
      <c r="H10" s="19" t="inlineStr">
        <is>
          <t>Importar</t>
        </is>
      </c>
      <c r="I10" s="22" t="n"/>
      <c r="J10" s="23">
        <f>IF(I10="","",E10*I10)</f>
        <v/>
      </c>
      <c r="K10" s="19" t="inlineStr">
        <is>
          <t>±16 g con ~0,5 mg por cuenta, giro hasta ±2000 °/s, filtro anti-aliasing programable. Comparte SPI con el ADXL375 (CS propio, pin 26). Lectura ~20 µs.</t>
        </is>
      </c>
    </row>
    <row r="11" ht="23.85" customHeight="1" s="17">
      <c r="A11" s="19" t="n">
        <v>10</v>
      </c>
      <c r="B11" s="19" t="inlineStr">
        <is>
          <t>Sensores</t>
        </is>
      </c>
      <c r="C11" s="19" t="inlineStr">
        <is>
          <t>IMU de orientación</t>
        </is>
      </c>
      <c r="D11" s="19" t="inlineStr">
        <is>
          <t>Adafruit BNO055</t>
        </is>
      </c>
      <c r="E11" s="20" t="n">
        <v>1</v>
      </c>
      <c r="F11" s="19" t="inlineStr">
        <is>
          <t>Tumbada y cabeceo, 100 Hz. Bus I2C lento (24/25)</t>
        </is>
      </c>
      <c r="G11" s="21" t="inlineStr">
        <is>
          <t>Ya lo tengo</t>
        </is>
      </c>
      <c r="H11" s="19" t="inlineStr">
        <is>
          <t>Importar</t>
        </is>
      </c>
      <c r="I11" s="22" t="n"/>
      <c r="J11" s="23">
        <f>IF(I11="","",E11*I11)</f>
        <v/>
      </c>
      <c r="K11" s="19" t="inlineStr">
        <is>
          <t>Cambia de bus: pines 24/25.</t>
        </is>
      </c>
    </row>
    <row r="12" ht="15" customHeight="1" s="17">
      <c r="A12" s="19" t="n">
        <v>11</v>
      </c>
      <c r="B12" s="19" t="inlineStr">
        <is>
          <t>Sensores</t>
        </is>
      </c>
      <c r="C12" s="19" t="inlineStr">
        <is>
          <t>Barómetro (actual)</t>
        </is>
      </c>
      <c r="D12" s="19" t="inlineStr">
        <is>
          <t>Adafruit BMP280</t>
        </is>
      </c>
      <c r="E12" s="20" t="n">
        <v>1</v>
      </c>
      <c r="F12" s="19" t="inlineStr">
        <is>
          <t>Altimetría y temperatura</t>
        </is>
      </c>
      <c r="G12" s="21" t="inlineStr">
        <is>
          <t>Sacar del diseño</t>
        </is>
      </c>
      <c r="H12" s="19" t="inlineStr">
        <is>
          <t>—</t>
        </is>
      </c>
      <c r="I12" s="22" t="n"/>
      <c r="J12" s="23">
        <f>IF(I12="","",E12*I12)</f>
        <v/>
      </c>
      <c r="K12" s="19" t="inlineStr">
        <is>
          <t>Lo reemplaza el BMP580.</t>
        </is>
      </c>
    </row>
    <row r="13" ht="57.45" customHeight="1" s="17">
      <c r="A13" s="19" t="n">
        <v>12</v>
      </c>
      <c r="B13" s="19" t="inlineStr">
        <is>
          <t>Sensores</t>
        </is>
      </c>
      <c r="C13" s="19" t="inlineStr">
        <is>
          <t>Barómetro (nuevo)</t>
        </is>
      </c>
      <c r="D13" s="19" t="inlineStr">
        <is>
          <t>BMP580 (módulo 3,3 V o con regulador) + filtro de jeringa</t>
        </is>
      </c>
      <c r="E13" s="20" t="n">
        <v>1</v>
      </c>
      <c r="F13" s="19" t="inlineStr">
        <is>
          <t>Altimetría (saltos, drops, fusión con GPS), 10–25 Hz. Bus I2C lento (24/25)</t>
        </is>
      </c>
      <c r="G13" s="21" t="inlineStr">
        <is>
          <t>Comprar</t>
        </is>
      </c>
      <c r="H13" s="19" t="inlineStr">
        <is>
          <t>Local</t>
        </is>
      </c>
      <c r="I13" s="22" t="n"/>
      <c r="J13" s="23">
        <f>IF(I13="","",E13*I13)</f>
        <v/>
      </c>
      <c r="K13" s="19" t="inlineStr">
        <is>
          <t>Elegido 26/09 porque se consigue en Argentina (el BMP390 había que importarlo). ±0,5 m relativo (el BMP280 ±1 m), ruido ~1 cm. Entrega presión ya compensada. Dirección 0x47 (o 0x46). Máximo 3,6 V.</t>
        </is>
      </c>
    </row>
    <row r="14" ht="35.05" customHeight="1" s="17">
      <c r="A14" s="19" t="n">
        <v>13</v>
      </c>
      <c r="B14" s="19" t="inlineStr">
        <is>
          <t>Sensores</t>
        </is>
      </c>
      <c r="C14" s="19" t="inlineStr">
        <is>
          <t>GPS</t>
        </is>
      </c>
      <c r="D14" s="19" t="inlineStr">
        <is>
          <t>SparkFun GNSS L1/L5 NEO-F10N (SMA)</t>
        </is>
      </c>
      <c r="E14" s="20" t="n">
        <v>1</v>
      </c>
      <c r="F14" s="19" t="inlineStr">
        <is>
          <t>Posición y velocidad, 10 Hz multi-GNSS</t>
        </is>
      </c>
      <c r="G14" s="21" t="inlineStr">
        <is>
          <t>Ya lo tengo</t>
        </is>
      </c>
      <c r="H14" s="19" t="inlineStr">
        <is>
          <t>Importar</t>
        </is>
      </c>
      <c r="I14" s="22" t="n"/>
      <c r="J14" s="23">
        <f>IF(I14="","",E14*I14)</f>
        <v/>
      </c>
      <c r="K14" s="19" t="inlineStr">
        <is>
          <t>Cablear también su salida PPS (pulso por segundo) al pin 23 del Teensy: sincroniza el reloj con la hora GPS.</t>
        </is>
      </c>
    </row>
    <row r="15" ht="23.85" customHeight="1" s="17">
      <c r="A15" s="19" t="n">
        <v>14</v>
      </c>
      <c r="B15" s="19" t="inlineStr">
        <is>
          <t>Sensores</t>
        </is>
      </c>
      <c r="C15" s="19" t="inlineStr">
        <is>
          <t>Antena GPS</t>
        </is>
      </c>
      <c r="D15" s="19" t="inlineStr">
        <is>
          <t>Antena activa L1/L5 (doble banda) con SMA</t>
        </is>
      </c>
      <c r="E15" s="20" t="n">
        <v>1</v>
      </c>
      <c r="F15" s="19" t="inlineStr">
        <is>
          <t>La placa con SMA no trae antena</t>
        </is>
      </c>
      <c r="G15" s="21" t="inlineStr">
        <is>
          <t>Comprar</t>
        </is>
      </c>
      <c r="H15" s="19" t="inlineStr">
        <is>
          <t>Importar</t>
        </is>
      </c>
      <c r="I15" s="22" t="n"/>
      <c r="J15" s="23">
        <f>IF(I15="","",E15*I15)</f>
        <v/>
      </c>
      <c r="K15" s="19" t="inlineStr">
        <is>
          <t>Verificar que sea L1+L5 y el conector correcto.</t>
        </is>
      </c>
    </row>
    <row r="16" ht="15" customHeight="1" s="17">
      <c r="A16" s="19" t="n">
        <v>15</v>
      </c>
      <c r="B16" s="19" t="inlineStr">
        <is>
          <t>Sensores</t>
        </is>
      </c>
      <c r="C16" s="19" t="inlineStr">
        <is>
          <t>Sensor de rueda</t>
        </is>
      </c>
      <c r="D16" s="19" t="inlineStr">
        <is>
          <t>SMC D-Z73 (reed con LED) + imán</t>
        </is>
      </c>
      <c r="E16" s="20" t="n">
        <v>1</v>
      </c>
      <c r="F16" s="19" t="inlineStr">
        <is>
          <t>Velocidad de rueda delantera (eventos)</t>
        </is>
      </c>
      <c r="G16" s="21" t="inlineStr">
        <is>
          <t>Ya lo tengo</t>
        </is>
      </c>
      <c r="H16" s="19" t="inlineStr">
        <is>
          <t>Local/Importar</t>
        </is>
      </c>
      <c r="I16" s="22" t="n"/>
      <c r="J16" s="23">
        <f>IF(I16="","",E16*I16)</f>
        <v/>
      </c>
      <c r="K16" s="19" t="n"/>
    </row>
    <row r="17" ht="35.05" customHeight="1" s="17">
      <c r="A17" s="19" t="n">
        <v>16</v>
      </c>
      <c r="B17" s="19" t="inlineStr">
        <is>
          <t>Sensores</t>
        </is>
      </c>
      <c r="C17" s="19" t="inlineStr">
        <is>
          <t>Temperatura del amortiguador</t>
        </is>
      </c>
      <c r="D17" s="19" t="inlineStr">
        <is>
          <t>DS18B20 TO-92 (pack x3)</t>
        </is>
      </c>
      <c r="E17" s="20" t="n">
        <v>1</v>
      </c>
      <c r="F17" s="19" t="inlineStr">
        <is>
          <t>Temperatura de horquilla y shock, por el cable de la regla. Además IDENTIFICA el sensor (número de serie único)</t>
        </is>
      </c>
      <c r="G17" s="21" t="inlineStr">
        <is>
          <t>Comprar</t>
        </is>
      </c>
      <c r="H17" s="19" t="inlineStr">
        <is>
          <t>Local</t>
        </is>
      </c>
      <c r="I17" s="22" t="n"/>
      <c r="J17" s="23">
        <f>IF(I17="","",E17*I17)</f>
        <v/>
      </c>
      <c r="K17" s="19" t="inlineStr">
        <is>
          <t>Pack de 3: 2 en uso + 1 de repuesto. Su número de serie le dice al Sender qué regla está enchufada y en qué conector.</t>
        </is>
      </c>
    </row>
    <row r="18" ht="23.85" customHeight="1" s="17">
      <c r="A18" s="19" t="n">
        <v>17</v>
      </c>
      <c r="B18" s="19" t="inlineStr">
        <is>
          <t>Sensores</t>
        </is>
      </c>
      <c r="C18" s="19" t="inlineStr">
        <is>
          <t>Portasensor de temperatura</t>
        </is>
      </c>
      <c r="D18" s="19" t="inlineStr">
        <is>
          <t>Plaquita de aluminio ~15×10×3 mm con cajera para TO-92</t>
        </is>
      </c>
      <c r="E18" s="20" t="n">
        <v>2</v>
      </c>
      <c r="F18" s="19" t="inlineStr">
        <is>
          <t>Montar el DS18B20 bajo la abrazadera de la regla</t>
        </is>
      </c>
      <c r="G18" s="21" t="inlineStr">
        <is>
          <t>Fabricar</t>
        </is>
      </c>
      <c r="H18" s="19" t="inlineStr">
        <is>
          <t>Taller propio</t>
        </is>
      </c>
      <c r="I18" s="22" t="n"/>
      <c r="J18" s="23">
        <f>IF(I18="","",E18*I18)</f>
        <v/>
      </c>
      <c r="K18" s="19" t="inlineStr">
        <is>
          <t>Epoxi (mejor térmico) + termocontraíble.</t>
        </is>
      </c>
    </row>
    <row r="19" ht="23.85" customHeight="1" s="17">
      <c r="A19" s="19" t="n">
        <v>18</v>
      </c>
      <c r="B19" s="19" t="inlineStr">
        <is>
          <t>Sensores</t>
        </is>
      </c>
      <c r="C19" s="19" t="inlineStr">
        <is>
          <t>Sensor de freno</t>
        </is>
      </c>
      <c r="D19" s="19" t="inlineStr">
        <is>
          <t>Sensor de corte de freno e-bike, tipo reed (2 cables) + imán</t>
        </is>
      </c>
      <c r="E19" s="20" t="n">
        <v>2</v>
      </c>
      <c r="F19" s="19" t="inlineStr">
        <is>
          <t>Detectar cada frenada sin tocar el hidráulico (conectores 4 y 5)</t>
        </is>
      </c>
      <c r="G19" s="21" t="inlineStr">
        <is>
          <t>Decidir</t>
        </is>
      </c>
      <c r="H19" s="19" t="inlineStr">
        <is>
          <t>Local</t>
        </is>
      </c>
      <c r="I19" s="22" t="n"/>
      <c r="J19" s="23">
        <f>IF(I19="","",E19*I19)</f>
        <v/>
      </c>
      <c r="K19" s="19" t="inlineStr">
        <is>
          <t>Futuro. Va al pin digital de un conector universal.</t>
        </is>
      </c>
    </row>
    <row r="20" ht="23.85" customHeight="1" s="17">
      <c r="A20" s="19" t="n">
        <v>19</v>
      </c>
      <c r="B20" s="19" t="inlineStr">
        <is>
          <t>Sensores</t>
        </is>
      </c>
      <c r="C20" s="19" t="inlineStr">
        <is>
          <t>Temperatura IR</t>
        </is>
      </c>
      <c r="D20" s="19" t="inlineStr">
        <is>
          <t>MLX90614 (DCI 5° o BCF 10°)</t>
        </is>
      </c>
      <c r="E20" s="20" t="n">
        <v>2</v>
      </c>
      <c r="F20" s="19" t="inlineStr">
        <is>
          <t>Alternativa sin contacto al DS18B20</t>
        </is>
      </c>
      <c r="G20" s="21" t="inlineStr">
        <is>
          <t>Descartado</t>
        </is>
      </c>
      <c r="H20" s="19" t="inlineStr">
        <is>
          <t>Importar</t>
        </is>
      </c>
      <c r="I20" s="22" t="n"/>
      <c r="J20" s="23">
        <f>IF(I20="","",E20*I20)</f>
        <v/>
      </c>
      <c r="K20" s="19" t="inlineStr">
        <is>
          <t>Reemplazado por el DS18B20 (26/09), salvo que se reconsidere.</t>
        </is>
      </c>
    </row>
    <row r="21" ht="23.85" customHeight="1" s="17">
      <c r="A21" s="19" t="n">
        <v>20</v>
      </c>
      <c r="B21" s="19" t="inlineStr">
        <is>
          <t>Sensores</t>
        </is>
      </c>
      <c r="C21" s="19" t="inlineStr">
        <is>
          <t>Presión de cubiertas</t>
        </is>
      </c>
      <c r="D21" s="19" t="inlineStr">
        <is>
          <t>TPMS Bluetooth (Presta, o Schrader + adaptador)</t>
        </is>
      </c>
      <c r="E21" s="20" t="n">
        <v>2</v>
      </c>
      <c r="F21" s="19" t="inlineStr">
        <is>
          <t>Presión real de cada cubierta</t>
        </is>
      </c>
      <c r="G21" s="21" t="inlineStr">
        <is>
          <t>Decidir</t>
        </is>
      </c>
      <c r="H21" s="19" t="inlineStr">
        <is>
          <t>A definir</t>
        </is>
      </c>
      <c r="I21" s="22" t="n"/>
      <c r="J21" s="23">
        <f>IF(I21="","",E21*I21)</f>
        <v/>
      </c>
      <c r="K21" s="19" t="inlineStr">
        <is>
          <t>Elegir modelo y verificar su protocolo antes de comprar.</t>
        </is>
      </c>
    </row>
    <row r="22" ht="15" customHeight="1" s="17">
      <c r="A22" s="19" t="n">
        <v>21</v>
      </c>
      <c r="B22" s="19" t="inlineStr">
        <is>
          <t>Sensores</t>
        </is>
      </c>
      <c r="C22" s="19" t="inlineStr">
        <is>
          <t>Altura sobre el suelo</t>
        </is>
      </c>
      <c r="D22" s="19" t="inlineStr">
        <is>
          <t>LiDAR TFmini-S / TFmini Plus</t>
        </is>
      </c>
      <c r="E22" s="20" t="n">
        <v>1</v>
      </c>
      <c r="F22" s="19" t="inlineStr">
        <is>
          <t>Altura real en saltos</t>
        </is>
      </c>
      <c r="G22" s="21" t="inlineStr">
        <is>
          <t>Futuro</t>
        </is>
      </c>
      <c r="H22" s="19" t="inlineStr">
        <is>
          <t>Importar</t>
        </is>
      </c>
      <c r="I22" s="22" t="n"/>
      <c r="J22" s="23">
        <f>IF(I22="","",E22*I22)</f>
        <v/>
      </c>
      <c r="K22" s="19" t="inlineStr">
        <is>
          <t>Opcional, versión posterior.</t>
        </is>
      </c>
    </row>
    <row r="23" ht="23.85" customHeight="1" s="17">
      <c r="A23" s="19" t="n">
        <v>22</v>
      </c>
      <c r="B23" s="19" t="inlineStr">
        <is>
          <t>Comunicación</t>
        </is>
      </c>
      <c r="C23" s="19" t="inlineStr">
        <is>
          <t>WiFi + Bluetooth</t>
        </is>
      </c>
      <c r="D23" s="19" t="inlineStr">
        <is>
          <t>ESP32-C3 SuperMini (pack x2)</t>
        </is>
      </c>
      <c r="E23" s="20" t="n">
        <v>1</v>
      </c>
      <c r="F23" s="19" t="inlineStr">
        <is>
          <t>Bajar bajadas por WiFi, pulsómetro/TPMS por Bluetooth</t>
        </is>
      </c>
      <c r="G23" s="21" t="inlineStr">
        <is>
          <t>Comprar</t>
        </is>
      </c>
      <c r="H23" s="19" t="inlineStr">
        <is>
          <t>Local</t>
        </is>
      </c>
      <c r="I23" s="22" t="n"/>
      <c r="J23" s="23">
        <f>IF(I23="","",E23*I23)</f>
        <v/>
      </c>
      <c r="K23" s="19" t="inlineStr">
        <is>
          <t>Pack de 2. Probar el alcance de la antena apenas llegue.</t>
        </is>
      </c>
    </row>
    <row r="24" ht="15" customHeight="1" s="17">
      <c r="A24" s="19" t="n">
        <v>23</v>
      </c>
      <c r="B24" s="19" t="inlineStr">
        <is>
          <t>Comunicación</t>
        </is>
      </c>
      <c r="C24" s="19" t="inlineStr">
        <is>
          <t>WiFi (actual)</t>
        </is>
      </c>
      <c r="D24" s="19" t="inlineStr">
        <is>
          <t>ESP8266 ESP-01S</t>
        </is>
      </c>
      <c r="E24" s="20" t="n">
        <v>1</v>
      </c>
      <c r="F24" s="19" t="inlineStr">
        <is>
          <t>WiFi mientras no esté el ESP32-C3</t>
        </is>
      </c>
      <c r="G24" s="21" t="inlineStr">
        <is>
          <t>Sacar del diseño</t>
        </is>
      </c>
      <c r="H24" s="19" t="inlineStr">
        <is>
          <t>—</t>
        </is>
      </c>
      <c r="I24" s="22" t="n"/>
      <c r="J24" s="23">
        <f>IF(I24="","",E24*I24)</f>
        <v/>
      </c>
      <c r="K24" s="19" t="inlineStr">
        <is>
          <t>Se reemplaza por el ESP32-C3.</t>
        </is>
      </c>
    </row>
    <row r="25" ht="15" customHeight="1" s="17">
      <c r="A25" s="19" t="n">
        <v>24</v>
      </c>
      <c r="B25" s="19" t="inlineStr">
        <is>
          <t>Comunicación</t>
        </is>
      </c>
      <c r="C25" s="19" t="inlineStr">
        <is>
          <t>Bluetooth (actual)</t>
        </is>
      </c>
      <c r="D25" s="19" t="inlineStr">
        <is>
          <t>Adafruit Bluefruit LE UART</t>
        </is>
      </c>
      <c r="E25" s="20" t="n">
        <v>1</v>
      </c>
      <c r="F25" s="19" t="inlineStr">
        <is>
          <t>Pulsómetro</t>
        </is>
      </c>
      <c r="G25" s="21" t="inlineStr">
        <is>
          <t>Sacar del diseño</t>
        </is>
      </c>
      <c r="H25" s="19" t="inlineStr">
        <is>
          <t>—</t>
        </is>
      </c>
      <c r="I25" s="22" t="n"/>
      <c r="J25" s="23">
        <f>IF(I25="","",E25*I25)</f>
        <v/>
      </c>
      <c r="K25" s="19" t="inlineStr">
        <is>
          <t>Lo hace el ESP32-C3. Libera los pines 0/1.</t>
        </is>
      </c>
    </row>
    <row r="26" ht="23.85" customHeight="1" s="17">
      <c r="A26" s="19" t="n">
        <v>25</v>
      </c>
      <c r="B26" s="19" t="inlineStr">
        <is>
          <t>Alimentación</t>
        </is>
      </c>
      <c r="C26" s="19" t="inlineStr">
        <is>
          <t>Batería</t>
        </is>
      </c>
      <c r="D26" s="19" t="inlineStr">
        <is>
          <t>LiPo 1S 3000 mAh (103665)</t>
        </is>
      </c>
      <c r="E26" s="20" t="n">
        <v>1</v>
      </c>
      <c r="F26" s="19" t="inlineStr">
        <is>
          <t>Alimentación</t>
        </is>
      </c>
      <c r="G26" s="21" t="inlineStr">
        <is>
          <t>Ya lo tengo</t>
        </is>
      </c>
      <c r="H26" s="19" t="inlineStr">
        <is>
          <t>Local</t>
        </is>
      </c>
      <c r="I26" s="22" t="n"/>
      <c r="J26" s="23">
        <f>IF(I26="","",E26*I26)</f>
        <v/>
      </c>
      <c r="K26" s="19" t="inlineStr">
        <is>
          <t>Tenés 2: el diseño usa una sola; la otra queda de repuesto.</t>
        </is>
      </c>
    </row>
    <row r="27" ht="23.85" customHeight="1" s="17">
      <c r="A27" s="19" t="n">
        <v>26</v>
      </c>
      <c r="B27" s="19" t="inlineStr">
        <is>
          <t>Alimentación</t>
        </is>
      </c>
      <c r="C27" s="19" t="inlineStr">
        <is>
          <t>Cargador</t>
        </is>
      </c>
      <c r="D27" s="19" t="inlineStr">
        <is>
          <t>TP4056 variante HW-373</t>
        </is>
      </c>
      <c r="E27" s="20" t="n">
        <v>1</v>
      </c>
      <c r="F27" s="19" t="inlineStr">
        <is>
          <t>Carga de la batería</t>
        </is>
      </c>
      <c r="G27" s="21" t="inlineStr">
        <is>
          <t>Ya lo tengo</t>
        </is>
      </c>
      <c r="H27" s="19" t="inlineStr">
        <is>
          <t>Local</t>
        </is>
      </c>
      <c r="I27" s="22" t="n"/>
      <c r="J27" s="23">
        <f>IF(I27="","",E27*I27)</f>
        <v/>
      </c>
      <c r="K27" s="19" t="inlineStr">
        <is>
          <t>Tenés 2: el diseño usa uno solo; el otro queda de repuesto.</t>
        </is>
      </c>
    </row>
    <row r="28" ht="23.85" customHeight="1" s="17">
      <c r="A28" s="19" t="n">
        <v>27</v>
      </c>
      <c r="B28" s="19" t="inlineStr">
        <is>
          <t>Alimentación</t>
        </is>
      </c>
      <c r="C28" s="19" t="inlineStr">
        <is>
          <t>Step-up 12 V</t>
        </is>
      </c>
      <c r="D28" s="19" t="inlineStr">
        <is>
          <t>MT3608</t>
        </is>
      </c>
      <c r="E28" s="20" t="n">
        <v>1</v>
      </c>
      <c r="F28" s="19" t="inlineStr">
        <is>
          <t>12 V para el sensor de rueda (los botones ya no llevan LED)</t>
        </is>
      </c>
      <c r="G28" s="21" t="inlineStr">
        <is>
          <t>Ya lo tengo</t>
        </is>
      </c>
      <c r="H28" s="19" t="inlineStr">
        <is>
          <t>Local</t>
        </is>
      </c>
      <c r="I28" s="22" t="n"/>
      <c r="J28" s="23">
        <f>IF(I28="","",E28*I28)</f>
        <v/>
      </c>
      <c r="K28" s="19" t="inlineStr">
        <is>
          <t>Se alimenta desde la llave del pin 4. Plan B del WiFi: de acá, con un reductor a 5 V.</t>
        </is>
      </c>
    </row>
    <row r="29" ht="23.85" customHeight="1" s="17">
      <c r="A29" s="19" t="n">
        <v>28</v>
      </c>
      <c r="B29" s="19" t="inlineStr">
        <is>
          <t>Alimentación</t>
        </is>
      </c>
      <c r="C29" s="19" t="inlineStr">
        <is>
          <t>MOSFET 12 V (actual)</t>
        </is>
      </c>
      <c r="D29" s="19" t="inlineStr">
        <is>
          <t>IRF9530</t>
        </is>
      </c>
      <c r="E29" s="20" t="n">
        <v>1</v>
      </c>
      <c r="F29" s="19" t="inlineStr">
        <is>
          <t>Corte del riel de 12 V</t>
        </is>
      </c>
      <c r="G29" s="21" t="inlineStr">
        <is>
          <t>Sacar del diseño</t>
        </is>
      </c>
      <c r="H29" s="19" t="inlineStr">
        <is>
          <t>—</t>
        </is>
      </c>
      <c r="I29" s="22" t="n"/>
      <c r="J29" s="23">
        <f>IF(I29="","",E29*I29)</f>
        <v/>
      </c>
      <c r="K29" s="19" t="inlineStr">
        <is>
          <t>No es de nivel lógico; lo reemplazan las llaves de los pines 4 y 9.</t>
        </is>
      </c>
    </row>
    <row r="30" ht="23.85" customHeight="1" s="17">
      <c r="A30" s="19" t="n">
        <v>29</v>
      </c>
      <c r="B30" s="19" t="inlineStr">
        <is>
          <t>Alimentación</t>
        </is>
      </c>
      <c r="C30" s="19" t="inlineStr">
        <is>
          <t>P-MOSFET nivel lógico</t>
        </is>
      </c>
      <c r="D30" s="19" t="inlineStr">
        <is>
          <t>AO3401A / SI2301 (SMD) o NDP6020P (TO-220)</t>
        </is>
      </c>
      <c r="E30" s="20" t="n">
        <v>2</v>
      </c>
      <c r="F30" s="19" t="inlineStr">
        <is>
          <t>Llaves de alimentación Q1 (periféricos) y Q3 (WiFi)</t>
        </is>
      </c>
      <c r="G30" s="21" t="inlineStr">
        <is>
          <t>Comprar</t>
        </is>
      </c>
      <c r="H30" s="19" t="inlineStr">
        <is>
          <t>Local/Importar</t>
        </is>
      </c>
      <c r="I30" s="22" t="n"/>
      <c r="J30" s="23">
        <f>IF(I30="","",E30*I30)</f>
        <v/>
      </c>
      <c r="K30" s="19" t="n"/>
    </row>
    <row r="31" ht="23.85" customHeight="1" s="17">
      <c r="A31" s="19" t="n">
        <v>30</v>
      </c>
      <c r="B31" s="19" t="inlineStr">
        <is>
          <t>Alimentación</t>
        </is>
      </c>
      <c r="C31" s="19" t="inlineStr">
        <is>
          <t>N-MOSFET</t>
        </is>
      </c>
      <c r="D31" s="19" t="inlineStr">
        <is>
          <t>2N7000 / BS170 (TO-92) o 2N7002 (SMD)</t>
        </is>
      </c>
      <c r="E31" s="20" t="n">
        <v>2</v>
      </c>
      <c r="F31" s="19" t="inlineStr">
        <is>
          <t>Manejan el gate de Q1 y Q3 desde los pines 4 y 9</t>
        </is>
      </c>
      <c r="G31" s="21" t="inlineStr">
        <is>
          <t>Comprar</t>
        </is>
      </c>
      <c r="H31" s="19" t="inlineStr">
        <is>
          <t>Local</t>
        </is>
      </c>
      <c r="I31" s="22" t="n"/>
      <c r="J31" s="23">
        <f>IF(I31="","",E31*I31)</f>
        <v/>
      </c>
      <c r="K31" s="19" t="n"/>
    </row>
    <row r="32" ht="15" customHeight="1" s="17">
      <c r="A32" s="19" t="n">
        <v>31</v>
      </c>
      <c r="B32" s="19" t="inlineStr">
        <is>
          <t>Alimentación</t>
        </is>
      </c>
      <c r="C32" s="19" t="inlineStr">
        <is>
          <t>Resistencia 100 kΩ</t>
        </is>
      </c>
      <c r="D32" s="19" t="inlineStr">
        <is>
          <t>1/4 W</t>
        </is>
      </c>
      <c r="E32" s="20" t="n">
        <v>4</v>
      </c>
      <c r="F32" s="19" t="inlineStr">
        <is>
          <t>Gates de las llaves</t>
        </is>
      </c>
      <c r="G32" s="21" t="inlineStr">
        <is>
          <t>Comprar</t>
        </is>
      </c>
      <c r="H32" s="19" t="inlineStr">
        <is>
          <t>Local</t>
        </is>
      </c>
      <c r="I32" s="22" t="n"/>
      <c r="J32" s="23">
        <f>IF(I32="","",E32*I32)</f>
        <v/>
      </c>
      <c r="K32" s="19" t="n"/>
    </row>
    <row r="33" ht="15" customHeight="1" s="17">
      <c r="A33" s="19" t="n">
        <v>32</v>
      </c>
      <c r="B33" s="19" t="inlineStr">
        <is>
          <t>Alimentación</t>
        </is>
      </c>
      <c r="C33" s="19" t="inlineStr">
        <is>
          <t>Resistencia 1 kΩ</t>
        </is>
      </c>
      <c r="D33" s="19" t="inlineStr">
        <is>
          <t>1/4 W</t>
        </is>
      </c>
      <c r="E33" s="20" t="n">
        <v>4</v>
      </c>
      <c r="F33" s="19" t="inlineStr">
        <is>
          <t>Gates de las llaves</t>
        </is>
      </c>
      <c r="G33" s="21" t="inlineStr">
        <is>
          <t>Ya lo tengo</t>
        </is>
      </c>
      <c r="H33" s="19" t="inlineStr">
        <is>
          <t>Local</t>
        </is>
      </c>
      <c r="I33" s="22" t="n"/>
      <c r="J33" s="23">
        <f>IF(I33="","",E33*I33)</f>
        <v/>
      </c>
      <c r="K33" s="19" t="n"/>
    </row>
    <row r="34" ht="68.65000000000001" customHeight="1" s="17">
      <c r="A34" s="19" t="n">
        <v>33</v>
      </c>
      <c r="B34" s="19" t="inlineStr">
        <is>
          <t>Alimentación</t>
        </is>
      </c>
      <c r="C34" s="19" t="inlineStr">
        <is>
          <t>Alimentación del ESP32-C3</t>
        </is>
      </c>
      <c r="D34" s="19" t="inlineStr">
        <is>
          <t>Sin regulador extra: batería (después de la llave del pin 9) al pin 5V del SuperMini; su regulador interno da los 3,3 V</t>
        </is>
      </c>
      <c r="E34" s="20" t="n">
        <v>1</v>
      </c>
      <c r="F34" s="19" t="inlineStr">
        <is>
          <t>Alimentar el ESP32-C3 desde la batería</t>
        </is>
      </c>
      <c r="G34" s="21" t="inlineStr">
        <is>
          <t>Confirmar</t>
        </is>
      </c>
      <c r="H34" s="19" t="inlineStr">
        <is>
          <t>—</t>
        </is>
      </c>
      <c r="I34" s="22" t="n"/>
      <c r="J34" s="23">
        <f>IF(I34="","",E34*I34)</f>
        <v/>
      </c>
      <c r="K34" s="19" t="inlineStr">
        <is>
          <t>El LM2596 directo de la batería NO sirve (necesita ≥5 V de entrada). Verificar si el SuperMini tiene diodo en la entrada de 5 V. Plan B: 12 V del MT3608 → LM2596 o Mini-360 regulado a 5 V → pin 5V (la llave del pin 9 entre medio).</t>
        </is>
      </c>
    </row>
    <row r="35" ht="23.85" customHeight="1" s="17">
      <c r="A35" s="19" t="n">
        <v>34</v>
      </c>
      <c r="B35" s="19" t="inlineStr">
        <is>
          <t>Alimentación</t>
        </is>
      </c>
      <c r="C35" s="19" t="inlineStr">
        <is>
          <t>Capacitor de reserva del WiFi</t>
        </is>
      </c>
      <c r="D35" s="19" t="inlineStr">
        <is>
          <t>Electrolítico 470 µF 6,3–10 V (bajo ESR)</t>
        </is>
      </c>
      <c r="E35" s="20" t="n">
        <v>1</v>
      </c>
      <c r="F35" s="19" t="inlineStr">
        <is>
          <t>Sostener los picos de ~350 mA del WiFi con batería baja</t>
        </is>
      </c>
      <c r="G35" s="21" t="inlineStr">
        <is>
          <t>Comprar</t>
        </is>
      </c>
      <c r="H35" s="19" t="inlineStr">
        <is>
          <t>Local</t>
        </is>
      </c>
      <c r="I35" s="22" t="n"/>
      <c r="J35" s="23">
        <f>IF(I35="","",E35*I35)</f>
        <v/>
      </c>
      <c r="K35" s="19" t="inlineStr">
        <is>
          <t>Pegado a los pines 5V/GND del SuperMini.</t>
        </is>
      </c>
    </row>
    <row r="36" ht="15" customHeight="1" s="17">
      <c r="A36" s="19" t="n">
        <v>35</v>
      </c>
      <c r="B36" s="19" t="inlineStr">
        <is>
          <t>Alimentación</t>
        </is>
      </c>
      <c r="C36" s="19" t="inlineStr">
        <is>
          <t>Divisor de batería (actual)</t>
        </is>
      </c>
      <c r="D36" s="19" t="inlineStr">
        <is>
          <t>Resistencias 10 kΩ</t>
        </is>
      </c>
      <c r="E36" s="20" t="n">
        <v>2</v>
      </c>
      <c r="F36" s="19" t="inlineStr">
        <is>
          <t>Lectura de batería (pin 16)</t>
        </is>
      </c>
      <c r="G36" s="21" t="inlineStr">
        <is>
          <t>Sacar del diseño</t>
        </is>
      </c>
      <c r="H36" s="19" t="inlineStr">
        <is>
          <t>—</t>
        </is>
      </c>
      <c r="I36" s="22" t="n"/>
      <c r="J36" s="23">
        <f>IF(I36="","",E36*I36)</f>
        <v/>
      </c>
      <c r="K36" s="19" t="inlineStr">
        <is>
          <t>Lo reemplaza el MAX17048. Libera el pin 16.</t>
        </is>
      </c>
    </row>
    <row r="37" ht="35.05" customHeight="1" s="17">
      <c r="A37" s="19" t="n">
        <v>36</v>
      </c>
      <c r="B37" s="19" t="inlineStr">
        <is>
          <t>Alimentación</t>
        </is>
      </c>
      <c r="C37" s="19" t="inlineStr">
        <is>
          <t>Medidor de batería</t>
        </is>
      </c>
      <c r="D37" s="19" t="inlineStr">
        <is>
          <t>MAX17048 (placa Adafruit o similar)</t>
        </is>
      </c>
      <c r="E37" s="20" t="n">
        <v>1</v>
      </c>
      <c r="F37" s="19" t="inlineStr">
        <is>
          <t>Porcentaje real de batería (la tensión de una LiPo casi no cambia en la mitad de la descarga)</t>
        </is>
      </c>
      <c r="G37" s="21" t="inlineStr">
        <is>
          <t>Comprar</t>
        </is>
      </c>
      <c r="H37" s="19" t="inlineStr">
        <is>
          <t>Importar</t>
        </is>
      </c>
      <c r="I37" s="22" t="n"/>
      <c r="J37" s="23">
        <f>IF(I37="","",E37*I37)</f>
        <v/>
      </c>
      <c r="K37" s="19" t="inlineStr">
        <is>
          <t>Bus I2C lento (24/25), dirección 0x36. Queda siempre conectado a la batería: consume unos µA con el Sender apagado.</t>
        </is>
      </c>
    </row>
    <row r="38" ht="35.05" customHeight="1" s="17">
      <c r="A38" s="19" t="n">
        <v>37</v>
      </c>
      <c r="B38" s="19" t="inlineStr">
        <is>
          <t>Interfaz</t>
        </is>
      </c>
      <c r="C38" s="19" t="inlineStr">
        <is>
          <t>Botón Power</t>
        </is>
      </c>
      <c r="D38" s="19" t="inlineStr">
        <is>
          <t>Pulsador metálico ~12 mm MOMENTÁNEO, IP67, SIN LED</t>
        </is>
      </c>
      <c r="E38" s="20" t="n">
        <v>1</v>
      </c>
      <c r="F38" s="19" t="inlineStr">
        <is>
          <t>Prender (pin On/Off) y apagar</t>
        </is>
      </c>
      <c r="G38" s="21" t="inlineStr">
        <is>
          <t>Comprar</t>
        </is>
      </c>
      <c r="H38" s="19" t="inlineStr">
        <is>
          <t>Local</t>
        </is>
      </c>
      <c r="I38" s="22" t="n"/>
      <c r="J38" s="23">
        <f>IF(I38="","",E38*I38)</f>
        <v/>
      </c>
      <c r="K38" s="19" t="inlineStr">
        <is>
          <t>Cambio 26/09: más chico y sin anillo LED; el estado lo muestra la tira de LEDs. No más chico que ~12 mm: se usa con guantes.</t>
        </is>
      </c>
    </row>
    <row r="39" ht="23.85" customHeight="1" s="17">
      <c r="A39" s="19" t="n">
        <v>38</v>
      </c>
      <c r="B39" s="19" t="inlineStr">
        <is>
          <t>Interfaz</t>
        </is>
      </c>
      <c r="C39" s="19" t="inlineStr">
        <is>
          <t>Diodo Schottky</t>
        </is>
      </c>
      <c r="D39" s="19" t="inlineStr">
        <is>
          <t>BAT43 / 1N5817</t>
        </is>
      </c>
      <c r="E39" s="20" t="n">
        <v>1</v>
      </c>
      <c r="F39" s="19" t="inlineStr">
        <is>
          <t>Que el firmware lea el botón Power (pin 22): apagado prolijo con 2 s</t>
        </is>
      </c>
      <c r="G39" s="21" t="inlineStr">
        <is>
          <t>Decidir</t>
        </is>
      </c>
      <c r="H39" s="19" t="inlineStr">
        <is>
          <t>Local</t>
        </is>
      </c>
      <c r="I39" s="22" t="n"/>
      <c r="J39" s="23">
        <f>IF(I39="","",E39*I39)</f>
        <v/>
      </c>
      <c r="K39" s="19" t="inlineStr">
        <is>
          <t>Depende de la decisión abierta 1.</t>
        </is>
      </c>
    </row>
    <row r="40" ht="35.05" customHeight="1" s="17">
      <c r="A40" s="19" t="n">
        <v>39</v>
      </c>
      <c r="B40" s="19" t="inlineStr">
        <is>
          <t>Interfaz</t>
        </is>
      </c>
      <c r="C40" s="19" t="inlineStr">
        <is>
          <t>Botón RUN</t>
        </is>
      </c>
      <c r="D40" s="19" t="inlineStr">
        <is>
          <t>Pulsador metálico ~12 mm MOMENTÁNEO, IP67, SIN LED (igual al Power)</t>
        </is>
      </c>
      <c r="E40" s="20" t="n">
        <v>1</v>
      </c>
      <c r="F40" s="19" t="inlineStr">
        <is>
          <t>Grabar/parar, WiFi, reinicio</t>
        </is>
      </c>
      <c r="G40" s="21" t="inlineStr">
        <is>
          <t>Comprar</t>
        </is>
      </c>
      <c r="H40" s="19" t="inlineStr">
        <is>
          <t>Local</t>
        </is>
      </c>
      <c r="I40" s="22" t="n"/>
      <c r="J40" s="23">
        <f>IF(I40="","",E40*I40)</f>
        <v/>
      </c>
      <c r="K40" s="19" t="inlineStr">
        <is>
          <t>Sin LED ni resistencia de 220 Ω: libera el pin 5. Idealmente de otra forma o color que el Power para distinguirlos al tacto.</t>
        </is>
      </c>
    </row>
    <row r="41" ht="35.05" customHeight="1" s="17">
      <c r="A41" s="19" t="n">
        <v>40</v>
      </c>
      <c r="B41" s="19" t="inlineStr">
        <is>
          <t>Interfaz</t>
        </is>
      </c>
      <c r="C41" s="19" t="inlineStr">
        <is>
          <t>Tira de LEDs</t>
        </is>
      </c>
      <c r="D41" s="19" t="inlineStr">
        <is>
          <t>WS2812B x8</t>
        </is>
      </c>
      <c r="E41" s="20" t="n">
        <v>1</v>
      </c>
      <c r="F41" s="19" t="inlineStr">
        <is>
          <t>TODAS las indicaciones: grabando, WiFi, errores, batería, aviso de auto-apagado</t>
        </is>
      </c>
      <c r="G41" s="21" t="inlineStr">
        <is>
          <t>Ya lo tengo</t>
        </is>
      </c>
      <c r="H41" s="19" t="inlineStr">
        <is>
          <t>Local</t>
        </is>
      </c>
      <c r="I41" s="22" t="n"/>
      <c r="J41" s="23">
        <f>IF(I41="","",E41*I41)</f>
        <v/>
      </c>
      <c r="K41" s="19" t="inlineStr">
        <is>
          <t>Alimentarla de la batería después de la llave del pin 4 (no del 3,3 V del Teensy ni de 12 V). Visible por la ventana transparente.</t>
        </is>
      </c>
    </row>
    <row r="42" ht="23.85" customHeight="1" s="17">
      <c r="A42" s="19" t="n">
        <v>41</v>
      </c>
      <c r="B42" s="19" t="inlineStr">
        <is>
          <t>Filtros y señal</t>
        </is>
      </c>
      <c r="C42" s="19" t="inlineStr">
        <is>
          <t>Perla de ferrite</t>
        </is>
      </c>
      <c r="D42" s="19" t="inlineStr">
        <is>
          <t>VK200 axial</t>
        </is>
      </c>
      <c r="E42" s="20" t="n">
        <v>4</v>
      </c>
      <c r="F42" s="19" t="inlineStr">
        <is>
          <t>Filtro de las señales analógicas de los 4 conectores universales</t>
        </is>
      </c>
      <c r="G42" s="21" t="inlineStr">
        <is>
          <t>Comprar</t>
        </is>
      </c>
      <c r="H42" s="19" t="inlineStr">
        <is>
          <t>Local</t>
        </is>
      </c>
      <c r="I42" s="22" t="n"/>
      <c r="J42" s="23">
        <f>IF(I42="","",E42*I42)</f>
        <v/>
      </c>
      <c r="K42" s="19" t="inlineStr">
        <is>
          <t>Antes 2; ahora 4 conectores universales.</t>
        </is>
      </c>
    </row>
    <row r="43" ht="15" customHeight="1" s="17">
      <c r="A43" s="19" t="n">
        <v>42</v>
      </c>
      <c r="B43" s="19" t="inlineStr">
        <is>
          <t>Filtros y señal</t>
        </is>
      </c>
      <c r="C43" s="19" t="inlineStr">
        <is>
          <t>Resistencia 100 Ω</t>
        </is>
      </c>
      <c r="D43" s="19" t="inlineStr">
        <is>
          <t>1/4 W</t>
        </is>
      </c>
      <c r="E43" s="20" t="n">
        <v>4</v>
      </c>
      <c r="F43" s="19" t="inlineStr">
        <is>
          <t>Filtro analógico (con el tántalo, ~150 Hz)</t>
        </is>
      </c>
      <c r="G43" s="21" t="inlineStr">
        <is>
          <t>Comprar</t>
        </is>
      </c>
      <c r="H43" s="19" t="inlineStr">
        <is>
          <t>Local</t>
        </is>
      </c>
      <c r="I43" s="22" t="n"/>
      <c r="J43" s="23">
        <f>IF(I43="","",E43*I43)</f>
        <v/>
      </c>
      <c r="K43" s="19" t="n"/>
    </row>
    <row r="44" ht="15" customHeight="1" s="17">
      <c r="A44" s="19" t="n">
        <v>43</v>
      </c>
      <c r="B44" s="19" t="inlineStr">
        <is>
          <t>Filtros y señal</t>
        </is>
      </c>
      <c r="C44" s="19" t="inlineStr">
        <is>
          <t>Capacitor de tántalo</t>
        </is>
      </c>
      <c r="D44" s="19" t="inlineStr">
        <is>
          <t>10 µF gota</t>
        </is>
      </c>
      <c r="E44" s="20" t="n">
        <v>4</v>
      </c>
      <c r="F44" s="19" t="inlineStr">
        <is>
          <t>Filtro analógico</t>
        </is>
      </c>
      <c r="G44" s="21" t="inlineStr">
        <is>
          <t>Comprar</t>
        </is>
      </c>
      <c r="H44" s="19" t="inlineStr">
        <is>
          <t>Local</t>
        </is>
      </c>
      <c r="I44" s="22" t="n"/>
      <c r="J44" s="23">
        <f>IF(I44="","",E44*I44)</f>
        <v/>
      </c>
      <c r="K44" s="19" t="n"/>
    </row>
    <row r="45" ht="57.45" customHeight="1" s="17">
      <c r="A45" s="19" t="n">
        <v>44</v>
      </c>
      <c r="B45" s="19" t="inlineStr">
        <is>
          <t>Protección de conectores</t>
        </is>
      </c>
      <c r="C45" s="19" t="inlineStr">
        <is>
          <t>Fusible reseteable (PTC)</t>
        </is>
      </c>
      <c r="D45" s="19" t="inlineStr">
        <is>
          <t>Bourns MF-PSMF010X, SMD 0805, 0,10 A / 15 V</t>
        </is>
      </c>
      <c r="E45" s="20" t="n">
        <v>5</v>
      </c>
      <c r="F45" s="19" t="inlineStr">
        <is>
          <t>3,3 V de cada conector universal (4) y 12 V de la rueda (1): un cable en corto no tira abajo el Teensy ni el MT3608</t>
        </is>
      </c>
      <c r="G45" s="21" t="inlineStr">
        <is>
          <t>Comprar</t>
        </is>
      </c>
      <c r="H45" s="19" t="inlineStr">
        <is>
          <t>Local</t>
        </is>
      </c>
      <c r="I45" s="22" t="n"/>
      <c r="J45" s="23">
        <f>IF(I45="","",E45*I45)</f>
        <v/>
      </c>
      <c r="K45" s="19" t="inlineStr">
        <is>
          <t>Elegido 26/09. Sirve también el lote genérico 0805 15 V 100 mA (x5). Un solo modelo para los 5 (15 V alcanza para los 12 V). Los 3 Bourns, de repuesto. No usar de 0,5 A o más, ni fusibles comunes no reseteables. Presión (06/10): la referencia del ADS1220 se toma del 3,3 V DESPUÉS del PTC (mismo nodo que va al cable), así la caída en el PTC no afecta la medición.</t>
        </is>
      </c>
    </row>
    <row r="46" ht="35.05" customHeight="1" s="17">
      <c r="A46" s="19" t="n">
        <v>45</v>
      </c>
      <c r="B46" s="19" t="inlineStr">
        <is>
          <t>Protección de conectores</t>
        </is>
      </c>
      <c r="C46" s="19" t="inlineStr">
        <is>
          <t>Protección ESD/TVS</t>
        </is>
      </c>
      <c r="D46" s="19" t="inlineStr">
        <is>
          <t>Arreglo ESD de 4 líneas 5 V (TPD4E05U06, USBLC6-4 o similar) o TVS por línea, de baja capacidad</t>
        </is>
      </c>
      <c r="E46" s="20" t="n">
        <v>4</v>
      </c>
      <c r="F46" s="19" t="inlineStr">
        <is>
          <t>Descargas estáticas en las líneas de señal de los conectores (8 líneas universales + rueda + 4 de presión S+/S−)</t>
        </is>
      </c>
      <c r="G46" s="21" t="inlineStr">
        <is>
          <t>Comprar</t>
        </is>
      </c>
      <c r="H46" s="19" t="inlineStr">
        <is>
          <t>Importar</t>
        </is>
      </c>
      <c r="I46" s="22" t="n"/>
      <c r="J46" s="23">
        <f>IF(I46="","",E46*I46)</f>
        <v/>
      </c>
      <c r="K46" s="19" t="inlineStr">
        <is>
          <t>Ubicarlos pegados a cada conector en la PCB. 06/10: +1 por las líneas de presión (pines 5 y 6 de los conectores 1 y 2).</t>
        </is>
      </c>
    </row>
    <row r="47" ht="23.85" customHeight="1" s="17">
      <c r="A47" s="19" t="n">
        <v>46</v>
      </c>
      <c r="B47" s="19" t="inlineStr">
        <is>
          <t>Protección de conectores</t>
        </is>
      </c>
      <c r="C47" s="19" t="inlineStr">
        <is>
          <t>Resistencia 100 Ω (digital)</t>
        </is>
      </c>
      <c r="D47" s="19" t="inlineStr">
        <is>
          <t>1/4 W o 0805</t>
        </is>
      </c>
      <c r="E47" s="20" t="n">
        <v>4</v>
      </c>
      <c r="F47" s="19" t="inlineStr">
        <is>
          <t>En serie con el pin digital de cada conector universal</t>
        </is>
      </c>
      <c r="G47" s="21" t="inlineStr">
        <is>
          <t>Comprar</t>
        </is>
      </c>
      <c r="H47" s="19" t="inlineStr">
        <is>
          <t>Local</t>
        </is>
      </c>
      <c r="I47" s="22" t="n"/>
      <c r="J47" s="23">
        <f>IF(I47="","",E47*I47)</f>
        <v/>
      </c>
      <c r="K47" s="19" t="inlineStr">
        <is>
          <t>Las analógicas ya tienen su 100 Ω del filtro.</t>
        </is>
      </c>
    </row>
    <row r="48" ht="23.85" customHeight="1" s="17">
      <c r="A48" s="19" t="n">
        <v>47</v>
      </c>
      <c r="B48" s="19" t="inlineStr">
        <is>
          <t>Filtros y señal</t>
        </is>
      </c>
      <c r="C48" s="19" t="inlineStr">
        <is>
          <t>Resistencia 4,7 kΩ</t>
        </is>
      </c>
      <c r="D48" s="19" t="inlineStr">
        <is>
          <t>1/4 W</t>
        </is>
      </c>
      <c r="E48" s="20" t="n">
        <v>4</v>
      </c>
      <c r="F48" s="19" t="inlineStr">
        <is>
          <t>Pull-up del pin digital de cada conector universal (DS18B20 / switch)</t>
        </is>
      </c>
      <c r="G48" s="21" t="inlineStr">
        <is>
          <t>Comprar</t>
        </is>
      </c>
      <c r="H48" s="19" t="inlineStr">
        <is>
          <t>Local</t>
        </is>
      </c>
      <c r="I48" s="22" t="n"/>
      <c r="J48" s="23">
        <f>IF(I48="","",E48*I48)</f>
        <v/>
      </c>
      <c r="K48" s="19" t="inlineStr">
        <is>
          <t>Nuevo 26/09.</t>
        </is>
      </c>
    </row>
    <row r="49" ht="15" customHeight="1" s="17">
      <c r="A49" s="19" t="n">
        <v>48</v>
      </c>
      <c r="B49" s="19" t="inlineStr">
        <is>
          <t>Filtros y señal</t>
        </is>
      </c>
      <c r="C49" s="19" t="inlineStr">
        <is>
          <t>Optoacoplador</t>
        </is>
      </c>
      <c r="D49" s="19" t="inlineStr">
        <is>
          <t>PC817 + R 1 kΩ + R 10 kΩ + cap 10 nF</t>
        </is>
      </c>
      <c r="E49" s="20" t="n">
        <v>1</v>
      </c>
      <c r="F49" s="19" t="inlineStr">
        <is>
          <t>Señal limpia del sensor de rueda</t>
        </is>
      </c>
      <c r="G49" s="21" t="inlineStr">
        <is>
          <t>Comprado</t>
        </is>
      </c>
      <c r="H49" s="19" t="inlineStr">
        <is>
          <t>Local</t>
        </is>
      </c>
      <c r="I49" s="22" t="n"/>
      <c r="J49" s="23">
        <f>IF(I49="","",E49*I49)</f>
        <v/>
      </c>
      <c r="K49" s="19" t="n"/>
    </row>
    <row r="50" ht="23.85" customHeight="1" s="17">
      <c r="A50" s="19" t="n">
        <v>49</v>
      </c>
      <c r="B50" s="19" t="inlineStr">
        <is>
          <t>Conectores y cables</t>
        </is>
      </c>
      <c r="C50" s="19" t="inlineStr">
        <is>
          <t>Conector universal (hembra en caja)</t>
        </is>
      </c>
      <c r="D50" s="19" t="inlineStr">
        <is>
          <t>4 pines, estanco (M8 A-codificado de 4 polos)</t>
        </is>
      </c>
      <c r="E50" s="20" t="n">
        <v>2</v>
      </c>
      <c r="F50" s="19" t="inlineStr">
        <is>
          <t>Conectores 4 y 5 (los 1 y 2 pasan a 8 polos por la presión, ver más abajo)</t>
        </is>
      </c>
      <c r="G50" s="21" t="inlineStr">
        <is>
          <t>Decidir</t>
        </is>
      </c>
      <c r="H50" s="19" t="inlineStr">
        <is>
          <t>Importar</t>
        </is>
      </c>
      <c r="I50" s="22" t="n"/>
      <c r="J50" s="23">
        <f>IF(I50="","",E50*I50)</f>
        <v/>
      </c>
      <c r="K50" s="19" t="inlineStr">
        <is>
          <t>06/10: conectores 1 y 2 pasan a M8 de 8 polos. Si se decide que todos acepten presión, estos también pasan a 8 polos (y hacen falta 4 ADS1220).</t>
        </is>
      </c>
    </row>
    <row r="51" ht="23.85" customHeight="1" s="17">
      <c r="A51" s="19" t="n">
        <v>50</v>
      </c>
      <c r="B51" s="19" t="inlineStr">
        <is>
          <t>Conectores y cables</t>
        </is>
      </c>
      <c r="C51" s="19" t="inlineStr">
        <is>
          <t>Conector universal (macho de cable)</t>
        </is>
      </c>
      <c r="D51" s="19" t="inlineStr">
        <is>
          <t>Mismo sistema, 4 pines</t>
        </is>
      </c>
      <c r="E51" s="20" t="n">
        <v>2</v>
      </c>
      <c r="F51" s="19" t="inlineStr">
        <is>
          <t>Cables de los sensores de los conectores 4 y 5</t>
        </is>
      </c>
      <c r="G51" s="21" t="inlineStr">
        <is>
          <t>Decidir</t>
        </is>
      </c>
      <c r="H51" s="19" t="inlineStr">
        <is>
          <t>Importar</t>
        </is>
      </c>
      <c r="I51" s="22" t="n"/>
      <c r="J51" s="23">
        <f>IF(I51="","",E51*I51)</f>
        <v/>
      </c>
      <c r="K51" s="19" t="n"/>
    </row>
    <row r="52" ht="23.85" customHeight="1" s="17">
      <c r="A52" s="19" t="n">
        <v>51</v>
      </c>
      <c r="B52" s="19" t="inlineStr">
        <is>
          <t>Conectores y cables</t>
        </is>
      </c>
      <c r="C52" s="19" t="inlineStr">
        <is>
          <t>Conector de rueda</t>
        </is>
      </c>
      <c r="D52" s="19" t="inlineStr">
        <is>
          <t>3 pines (el actual), de tipo o codificación DISTINTA a los universales</t>
        </is>
      </c>
      <c r="E52" s="20" t="n">
        <v>1</v>
      </c>
      <c r="F52" s="19" t="inlineStr">
        <is>
          <t>Conector 3: sensor de rueda (lleva 12 V)</t>
        </is>
      </c>
      <c r="G52" s="21" t="inlineStr">
        <is>
          <t>Confirmar</t>
        </is>
      </c>
      <c r="H52" s="19" t="inlineStr">
        <is>
          <t>—</t>
        </is>
      </c>
      <c r="I52" s="22" t="n"/>
      <c r="J52" s="23">
        <f>IF(I52="","",E52*I52)</f>
        <v/>
      </c>
      <c r="K52" s="19" t="inlineStr">
        <is>
          <t>Que no se pueda enchufar un cable universal ahí: 12 V quema un DS18B20 o una regla.</t>
        </is>
      </c>
    </row>
    <row r="53" ht="23.85" customHeight="1" s="17">
      <c r="A53" s="19" t="n">
        <v>52</v>
      </c>
      <c r="B53" s="19" t="inlineStr">
        <is>
          <t>Conectores y cables</t>
        </is>
      </c>
      <c r="C53" s="19" t="inlineStr">
        <is>
          <t>Cable mallado</t>
        </is>
      </c>
      <c r="D53" s="19" t="inlineStr">
        <is>
          <t>4 hilos × 0,14–0,25 mm², con malla</t>
        </is>
      </c>
      <c r="E53" s="20" t="n">
        <v>3</v>
      </c>
      <c r="F53" s="19" t="inlineStr">
        <is>
          <t>Cables de los conectores 4 y 5 (m). Horquilla y shock usan el de 8 hilos (ver más abajo)</t>
        </is>
      </c>
      <c r="G53" s="21" t="inlineStr">
        <is>
          <t>Comprar</t>
        </is>
      </c>
      <c r="H53" s="19" t="inlineStr">
        <is>
          <t>Local</t>
        </is>
      </c>
      <c r="I53" s="22" t="n"/>
      <c r="J53" s="23">
        <f>IF(I53="","",E53*I53)</f>
        <v/>
      </c>
      <c r="K53" s="19" t="inlineStr">
        <is>
          <t>Cantidad en metros. Malla a GND sólo del lado del Sender.</t>
        </is>
      </c>
    </row>
    <row r="54" ht="23.85" customHeight="1" s="17">
      <c r="A54" s="19" t="n">
        <v>53</v>
      </c>
      <c r="B54" s="19" t="inlineStr">
        <is>
          <t>Conectores y cables</t>
        </is>
      </c>
      <c r="C54" s="19" t="inlineStr">
        <is>
          <t>Cable pigtail</t>
        </is>
      </c>
      <c r="D54" s="19" t="inlineStr">
        <is>
          <t>SMA hembra a SMA macho, pasapanel</t>
        </is>
      </c>
      <c r="E54" s="20" t="n">
        <v>1</v>
      </c>
      <c r="F54" s="19" t="inlineStr">
        <is>
          <t>Extensor del conector de antena del GPS: acceso desde afuera de la caja</t>
        </is>
      </c>
      <c r="G54" s="21" t="inlineStr">
        <is>
          <t>Ya lo tengo</t>
        </is>
      </c>
      <c r="H54" s="19" t="inlineStr">
        <is>
          <t>—</t>
        </is>
      </c>
      <c r="I54" s="22" t="n"/>
      <c r="J54" s="23">
        <f>IF(I54="","",E54*I54)</f>
        <v/>
      </c>
      <c r="K54" s="19" t="n"/>
    </row>
    <row r="55" ht="23.85" customHeight="1" s="17">
      <c r="A55" s="19" t="n">
        <v>54</v>
      </c>
      <c r="B55" s="19" t="inlineStr">
        <is>
          <t>Conectores y cables</t>
        </is>
      </c>
      <c r="C55" s="19" t="inlineStr">
        <is>
          <t>Cable USB-C</t>
        </is>
      </c>
      <c r="D55" s="19" t="inlineStr">
        <is>
          <t>USB-C pasapanel a conector</t>
        </is>
      </c>
      <c r="E55" s="20" t="n">
        <v>1</v>
      </c>
      <c r="F55" s="19" t="inlineStr">
        <is>
          <t>Extensor de la alimentación del TP4056: cargar desde afuera de la caja</t>
        </is>
      </c>
      <c r="G55" s="21" t="inlineStr">
        <is>
          <t>Ya lo tengo</t>
        </is>
      </c>
      <c r="H55" s="19" t="inlineStr">
        <is>
          <t>—</t>
        </is>
      </c>
      <c r="I55" s="22" t="n"/>
      <c r="J55" s="23">
        <f>IF(I55="","",E55*I55)</f>
        <v/>
      </c>
      <c r="K55" s="19" t="n"/>
    </row>
    <row r="56" ht="35.05" customHeight="1" s="17">
      <c r="A56" s="19" t="n">
        <v>55</v>
      </c>
      <c r="B56" s="19" t="inlineStr">
        <is>
          <t>Mecánica</t>
        </is>
      </c>
      <c r="C56" s="19" t="inlineStr">
        <is>
          <t>PCB a medida</t>
        </is>
      </c>
      <c r="D56" s="19" t="inlineStr">
        <is>
          <t>Rediseño con los cambios del 26/09</t>
        </is>
      </c>
      <c r="E56" s="20" t="n">
        <v>1</v>
      </c>
      <c r="F56" s="19" t="inlineStr">
        <is>
          <t>Placa del Sender</t>
        </is>
      </c>
      <c r="G56" s="21" t="inlineStr">
        <is>
          <t>Fabricar</t>
        </is>
      </c>
      <c r="H56" s="19" t="inlineStr">
        <is>
          <t>A definir</t>
        </is>
      </c>
      <c r="I56" s="22" t="n"/>
      <c r="J56" s="23">
        <f>IF(I56="","",E56*I56)</f>
        <v/>
      </c>
      <c r="K56" s="19" t="inlineStr">
        <is>
          <t>Bus I2C lento, SPI compartido (ADXL + IMU), llaves, conectores universales con protección, pila, MAX17048, PPS. 06/10: + 2 × ADS1220 con su filtro y conectores 1 y 2 de 8 polos (HARDWARE.md sección 7).</t>
        </is>
      </c>
    </row>
    <row r="57" ht="23.85" customHeight="1" s="17">
      <c r="A57" s="19" t="n">
        <v>56</v>
      </c>
      <c r="B57" s="19" t="inlineStr">
        <is>
          <t>Mecánica</t>
        </is>
      </c>
      <c r="C57" s="19" t="inlineStr">
        <is>
          <t>Carcasa</t>
        </is>
      </c>
      <c r="D57" s="19" t="inlineStr">
        <is>
          <t>Carcasa ultrafina con ventana para la tira de LEDs</t>
        </is>
      </c>
      <c r="E57" s="20" t="n">
        <v>1</v>
      </c>
      <c r="F57" s="19" t="inlineStr">
        <is>
          <t>Caja del Sender</t>
        </is>
      </c>
      <c r="G57" s="21" t="inlineStr">
        <is>
          <t>Fabricar</t>
        </is>
      </c>
      <c r="H57" s="19" t="inlineStr">
        <is>
          <t>Taller propio</t>
        </is>
      </c>
      <c r="I57" s="22" t="n"/>
      <c r="J57" s="23">
        <f>IF(I57="","",E57*I57)</f>
        <v/>
      </c>
      <c r="K57" s="19" t="n"/>
    </row>
    <row r="58" ht="23.85" customHeight="1" s="17">
      <c r="A58" s="19" t="n">
        <v>57</v>
      </c>
      <c r="B58" s="19" t="inlineStr">
        <is>
          <t>Presión de aire</t>
        </is>
      </c>
      <c r="C58" s="19" t="inlineStr">
        <is>
          <t>Sensor de presión de aire</t>
        </is>
      </c>
      <c r="D58" s="19" t="inlineStr">
        <is>
          <t>TE 89-01KA-0U (1000 psia, puente en mV 15–28 mV/V, 316L, Ø9,04 × 13,2 mm, sin compensar)</t>
        </is>
      </c>
      <c r="E58" s="20" t="n">
        <v>2</v>
      </c>
      <c r="F58" s="19" t="inlineStr">
        <is>
          <t>Presión de la cámara positiva de horquilla y shock, 1000 Hz, por el cable de la regla</t>
        </is>
      </c>
      <c r="G58" s="21" t="inlineStr">
        <is>
          <t>Comprar</t>
        </is>
      </c>
      <c r="H58" s="19" t="inlineStr">
        <is>
          <t>Importar</t>
        </is>
      </c>
      <c r="I58" s="22" t="n"/>
      <c r="J58" s="23">
        <f>IF(I58="","",E58*I58)</f>
        <v/>
      </c>
      <c r="K58" s="19" t="inlineStr">
        <is>
          <t>TE lo marca "no disponible" en su página: consultar stock en Mouser / Digi-Key / distribuidores. Mismo sensor para horquilla y shock. Hay que calibrar offset y span contra temperatura.</t>
        </is>
      </c>
    </row>
    <row r="59" ht="23.85" customHeight="1" s="17">
      <c r="A59" s="19" t="n">
        <v>58</v>
      </c>
      <c r="B59" s="19" t="inlineStr">
        <is>
          <t>Presión de aire</t>
        </is>
      </c>
      <c r="C59" s="19" t="inlineStr">
        <is>
          <t>ADC de presión</t>
        </is>
      </c>
      <c r="D59" s="19" t="inlineStr">
        <is>
          <t>TI ADS1220 (TSSOP-16, 24 bits, PGA, SPI)</t>
        </is>
      </c>
      <c r="E59" s="20" t="n">
        <v>2</v>
      </c>
      <c r="F59" s="19" t="inlineStr">
        <is>
          <t>Leer el puente de cada sensor. SPI compartido (11/12/13), CS 27/28, DRDY 29/30</t>
        </is>
      </c>
      <c r="G59" s="21" t="inlineStr">
        <is>
          <t>Comprar</t>
        </is>
      </c>
      <c r="H59" s="19" t="inlineStr">
        <is>
          <t>Importar</t>
        </is>
      </c>
      <c r="I59" s="22" t="n"/>
      <c r="J59" s="23">
        <f>IF(I59="","",E59*I59)</f>
        <v/>
      </c>
      <c r="K59" s="19" t="inlineStr">
        <is>
          <t>Para probar en banco antes de la PCB sirven 2 módulos ADS1220. Config: PGA 32, turbo 2000 SPS, referencia ratiométrica.</t>
        </is>
      </c>
    </row>
    <row r="60" ht="23.85" customHeight="1" s="17">
      <c r="A60" s="19" t="n">
        <v>59</v>
      </c>
      <c r="B60" s="19" t="inlineStr">
        <is>
          <t>Presión de aire</t>
        </is>
      </c>
      <c r="C60" s="19" t="inlineStr">
        <is>
          <t>Resistencia 1 kΩ (filtro)</t>
        </is>
      </c>
      <c r="D60" s="19" t="inlineStr">
        <is>
          <t>0805, 1 %</t>
        </is>
      </c>
      <c r="E60" s="20" t="n">
        <v>4</v>
      </c>
      <c r="F60" s="19" t="inlineStr">
        <is>
          <t>Filtro RC de entrada (S+ y S− de cada canal)</t>
        </is>
      </c>
      <c r="G60" s="21" t="inlineStr">
        <is>
          <t>Comprar</t>
        </is>
      </c>
      <c r="H60" s="19" t="inlineStr">
        <is>
          <t>Local</t>
        </is>
      </c>
      <c r="I60" s="22" t="n"/>
      <c r="J60" s="23">
        <f>IF(I60="","",E60*I60)</f>
        <v/>
      </c>
      <c r="K60" s="19" t="inlineStr">
        <is>
          <t>Corte ≈ 800 Hz con el capacitor diferencial de 100 nF.</t>
        </is>
      </c>
    </row>
    <row r="61" ht="23.85" customHeight="1" s="17">
      <c r="A61" s="19" t="n">
        <v>60</v>
      </c>
      <c r="B61" s="19" t="inlineStr">
        <is>
          <t>Presión de aire</t>
        </is>
      </c>
      <c r="C61" s="19" t="inlineStr">
        <is>
          <t>Capacitor 100 nF C0G (diferencial)</t>
        </is>
      </c>
      <c r="D61" s="19" t="inlineStr">
        <is>
          <t>0805 C0G/NP0 (o film)</t>
        </is>
      </c>
      <c r="E61" s="20" t="n">
        <v>2</v>
      </c>
      <c r="F61" s="19" t="inlineStr">
        <is>
          <t>Filtro diferencial entre AIN1 y AIN2</t>
        </is>
      </c>
      <c r="G61" s="21" t="inlineStr">
        <is>
          <t>Comprar</t>
        </is>
      </c>
      <c r="H61" s="19" t="inlineStr">
        <is>
          <t>Local</t>
        </is>
      </c>
      <c r="I61" s="22" t="n"/>
      <c r="J61" s="23">
        <f>IF(I61="","",E61*I61)</f>
        <v/>
      </c>
      <c r="K61" s="19" t="inlineStr">
        <is>
          <t>C0G: estable con temperatura y sin efecto piezo con la vibración.</t>
        </is>
      </c>
    </row>
    <row r="62" ht="23.85" customHeight="1" s="17">
      <c r="A62" s="19" t="n">
        <v>61</v>
      </c>
      <c r="B62" s="19" t="inlineStr">
        <is>
          <t>Presión de aire</t>
        </is>
      </c>
      <c r="C62" s="19" t="inlineStr">
        <is>
          <t>Capacitor 10 nF C0G (modo común)</t>
        </is>
      </c>
      <c r="D62" s="19" t="inlineStr">
        <is>
          <t>0805 C0G/NP0</t>
        </is>
      </c>
      <c r="E62" s="20" t="n">
        <v>4</v>
      </c>
      <c r="F62" s="19" t="inlineStr">
        <is>
          <t>Filtro de modo común de AIN1 y AIN2 a GND</t>
        </is>
      </c>
      <c r="G62" s="21" t="inlineStr">
        <is>
          <t>Comprar</t>
        </is>
      </c>
      <c r="H62" s="19" t="inlineStr">
        <is>
          <t>Local</t>
        </is>
      </c>
      <c r="I62" s="22" t="n"/>
      <c r="J62" s="23">
        <f>IF(I62="","",E62*I62)</f>
        <v/>
      </c>
      <c r="K62" s="19" t="inlineStr">
        <is>
          <t>Relación 10:1 con el diferencial.</t>
        </is>
      </c>
    </row>
    <row r="63" ht="23.85" customHeight="1" s="17">
      <c r="A63" s="19" t="n">
        <v>62</v>
      </c>
      <c r="B63" s="19" t="inlineStr">
        <is>
          <t>Presión de aire</t>
        </is>
      </c>
      <c r="C63" s="19" t="inlineStr">
        <is>
          <t>Capacitor 10 µF (desacople)</t>
        </is>
      </c>
      <c r="D63" s="19" t="inlineStr">
        <is>
          <t>0805 cerámico X7R/X5R, 10 V</t>
        </is>
      </c>
      <c r="E63" s="20" t="n">
        <v>4</v>
      </c>
      <c r="F63" s="19" t="inlineStr">
        <is>
          <t>AVDD y DVDD de cada ADS1220</t>
        </is>
      </c>
      <c r="G63" s="21" t="inlineStr">
        <is>
          <t>Comprar</t>
        </is>
      </c>
      <c r="H63" s="19" t="inlineStr">
        <is>
          <t>Local</t>
        </is>
      </c>
      <c r="I63" s="22" t="n"/>
      <c r="J63" s="23">
        <f>IF(I63="","",E63*I63)</f>
        <v/>
      </c>
      <c r="K63" s="19" t="n"/>
    </row>
    <row r="64" ht="23.85" customHeight="1" s="17">
      <c r="A64" s="19" t="n">
        <v>63</v>
      </c>
      <c r="B64" s="19" t="inlineStr">
        <is>
          <t>Presión de aire</t>
        </is>
      </c>
      <c r="C64" s="19" t="inlineStr">
        <is>
          <t>Capacitor 100 nF (desacople)</t>
        </is>
      </c>
      <c r="D64" s="19" t="inlineStr">
        <is>
          <t>0805 X7R</t>
        </is>
      </c>
      <c r="E64" s="20" t="n">
        <v>6</v>
      </c>
      <c r="F64" s="19" t="inlineStr">
        <is>
          <t>AVDD, DVDD y REFP0 de cada ADS1220</t>
        </is>
      </c>
      <c r="G64" s="21" t="inlineStr">
        <is>
          <t>Comprar</t>
        </is>
      </c>
      <c r="H64" s="19" t="inlineStr">
        <is>
          <t>Local</t>
        </is>
      </c>
      <c r="I64" s="22" t="n"/>
      <c r="J64" s="23">
        <f>IF(I64="","",E64*I64)</f>
        <v/>
      </c>
      <c r="K64" s="19" t="n"/>
    </row>
    <row r="65" ht="23.85" customHeight="1" s="17">
      <c r="A65" s="19" t="n">
        <v>64</v>
      </c>
      <c r="B65" s="19" t="inlineStr">
        <is>
          <t>Presión de aire</t>
        </is>
      </c>
      <c r="C65" s="19" t="inlineStr">
        <is>
          <t>Resistencia 10 kΩ (pull-up CS)</t>
        </is>
      </c>
      <c r="D65" s="19" t="inlineStr">
        <is>
          <t>0805</t>
        </is>
      </c>
      <c r="E65" s="20" t="n">
        <v>2</v>
      </c>
      <c r="F65" s="19" t="inlineStr">
        <is>
          <t>Pull-up del CS de cada ADS1220 (que no hable en el bus al arrancar)</t>
        </is>
      </c>
      <c r="G65" s="21" t="inlineStr">
        <is>
          <t>Comprar</t>
        </is>
      </c>
      <c r="H65" s="19" t="inlineStr">
        <is>
          <t>Local</t>
        </is>
      </c>
      <c r="I65" s="22" t="n"/>
      <c r="J65" s="23">
        <f>IF(I65="","",E65*I65)</f>
        <v/>
      </c>
      <c r="K65" s="19" t="n"/>
    </row>
    <row r="66" ht="23.85" customHeight="1" s="17">
      <c r="A66" s="19" t="n">
        <v>65</v>
      </c>
      <c r="B66" s="19" t="inlineStr">
        <is>
          <t>Conectores y cables</t>
        </is>
      </c>
      <c r="C66" s="19" t="inlineStr">
        <is>
          <t>Conector horquilla/shock (hembra en caja)</t>
        </is>
      </c>
      <c r="D66" s="19" t="inlineStr">
        <is>
          <t>M8 de 8 polos, estanco</t>
        </is>
      </c>
      <c r="E66" s="20" t="n">
        <v>2</v>
      </c>
      <c r="F66" s="19" t="inlineStr">
        <is>
          <t>Conectores 1 y 2: regla + DS18B20 + presión</t>
        </is>
      </c>
      <c r="G66" s="21" t="inlineStr">
        <is>
          <t>Comprar</t>
        </is>
      </c>
      <c r="H66" s="19" t="inlineStr">
        <is>
          <t>Importar</t>
        </is>
      </c>
      <c r="I66" s="22" t="n"/>
      <c r="J66" s="23">
        <f>IF(I66="","",E66*I66)</f>
        <v/>
      </c>
      <c r="K66" s="19" t="inlineStr">
        <is>
          <t>Pines: 1 3,3 V, 2 GND, 3 regla, 4 DS18B20, 5 S+, 6 S−, 7 reserva, 8 malla. Los 4 primeros iguales al universal.</t>
        </is>
      </c>
    </row>
    <row r="67" ht="23.85" customHeight="1" s="17">
      <c r="A67" s="19" t="n">
        <v>66</v>
      </c>
      <c r="B67" s="19" t="inlineStr">
        <is>
          <t>Conectores y cables</t>
        </is>
      </c>
      <c r="C67" s="19" t="inlineStr">
        <is>
          <t>Conector horquilla/shock (macho de cable)</t>
        </is>
      </c>
      <c r="D67" s="19" t="inlineStr">
        <is>
          <t>M8 de 8 polos, mismo sistema</t>
        </is>
      </c>
      <c r="E67" s="20" t="n">
        <v>2</v>
      </c>
      <c r="F67" s="19" t="inlineStr">
        <is>
          <t>Cables de horquilla y shock</t>
        </is>
      </c>
      <c r="G67" s="21" t="inlineStr">
        <is>
          <t>Comprar</t>
        </is>
      </c>
      <c r="H67" s="19" t="inlineStr">
        <is>
          <t>Importar</t>
        </is>
      </c>
      <c r="I67" s="22" t="n"/>
      <c r="J67" s="23">
        <f>IF(I67="","",E67*I67)</f>
        <v/>
      </c>
      <c r="K67" s="19" t="n"/>
    </row>
    <row r="68" ht="23.85" customHeight="1" s="17">
      <c r="A68" s="19" t="n">
        <v>67</v>
      </c>
      <c r="B68" s="19" t="inlineStr">
        <is>
          <t>Conectores y cables</t>
        </is>
      </c>
      <c r="C68" s="19" t="inlineStr">
        <is>
          <t>Cable mallado 8 hilos</t>
        </is>
      </c>
      <c r="D68" s="19" t="inlineStr">
        <is>
          <t>8 × 0,14 mm² con malla y un par trenzado (S+/S−)</t>
        </is>
      </c>
      <c r="E68" s="20" t="n">
        <v>3</v>
      </c>
      <c r="F68" s="19" t="inlineStr">
        <is>
          <t>Cables de horquilla y shock (m)</t>
        </is>
      </c>
      <c r="G68" s="21" t="inlineStr">
        <is>
          <t>Comprar</t>
        </is>
      </c>
      <c r="H68" s="19" t="inlineStr">
        <is>
          <t>Local/Importar</t>
        </is>
      </c>
      <c r="I68" s="22" t="n"/>
      <c r="J68" s="23">
        <f>IF(I68="","",E68*I68)</f>
        <v/>
      </c>
      <c r="K68" s="19" t="inlineStr">
        <is>
          <t>Cantidad en metros. Malla a GND sólo del lado del Sender. Si no se consigue con par trenzado, trenzar S+/S− aparte dentro de la malla.</t>
        </is>
      </c>
    </row>
    <row r="69" ht="23.85" customHeight="1" s="17">
      <c r="A69" s="19" t="n">
        <v>68</v>
      </c>
      <c r="B69" s="19" t="inlineStr">
        <is>
          <t>Presión de aire</t>
        </is>
      </c>
      <c r="C69" s="19" t="inlineStr">
        <is>
          <t>Cabezal de válvula tipo banjo</t>
        </is>
      </c>
      <c r="D69" s="19" t="inlineStr">
        <is>
          <t>Aluminio 7075: pieza interior rosca 8V1 hembra + pin depresor, cuerpo giratorio con 2 o-rings, pico de inflado arriba, alojamiento del sensor acostado</t>
        </is>
      </c>
      <c r="E69" s="20" t="n">
        <v>2</v>
      </c>
      <c r="F69" s="19" t="inlineStr">
        <is>
          <t>Montar el sensor en la válvula Schrader sin perder el inflado</t>
        </is>
      </c>
      <c r="G69" s="21" t="inlineStr">
        <is>
          <t>Fabricar</t>
        </is>
      </c>
      <c r="H69" s="19" t="inlineStr">
        <is>
          <t>Taller propio</t>
        </is>
      </c>
      <c r="I69" s="22" t="n"/>
      <c r="J69" s="23">
        <f>IF(I69="","",E69*I69)</f>
        <v/>
      </c>
      <c r="K69" s="19" t="inlineStr">
        <is>
          <t>Falta medir en la bici: altura libre sobre cada válvula, alojamiento de la válvula de la horquilla, espacio alrededor de la del shock. Verificar el alojamiento con el STEP de TE.</t>
        </is>
      </c>
    </row>
    <row r="70" ht="23.85" customHeight="1" s="17">
      <c r="A70" s="19" t="n">
        <v>69</v>
      </c>
      <c r="B70" s="19" t="inlineStr">
        <is>
          <t>Presión de aire</t>
        </is>
      </c>
      <c r="C70" s="19" t="inlineStr">
        <is>
          <t>Núcleo de válvula Schrader</t>
        </is>
      </c>
      <c r="D70" s="19" t="inlineStr">
        <is>
          <t>Estándar (rosca 5V1)</t>
        </is>
      </c>
      <c r="E70" s="20" t="n">
        <v>4</v>
      </c>
      <c r="F70" s="19" t="inlineStr">
        <is>
          <t>Pico de inflado de cada cabezal</t>
        </is>
      </c>
      <c r="G70" s="21" t="inlineStr">
        <is>
          <t>Comprar</t>
        </is>
      </c>
      <c r="H70" s="19" t="inlineStr">
        <is>
          <t>Local</t>
        </is>
      </c>
      <c r="I70" s="22" t="n"/>
      <c r="J70" s="23">
        <f>IF(I70="","",E70*I70)</f>
        <v/>
      </c>
      <c r="K70" s="19" t="inlineStr">
        <is>
          <t>Gomería o casa de repuestos. 2 + 2 de repuesto.</t>
        </is>
      </c>
    </row>
    <row r="71" ht="23.85" customHeight="1" s="17">
      <c r="A71" s="19" t="n">
        <v>70</v>
      </c>
      <c r="B71" s="19" t="inlineStr">
        <is>
          <t>Presión de aire</t>
        </is>
      </c>
      <c r="C71" s="19" t="inlineStr">
        <is>
          <t>Juntas tóricas NBR</t>
        </is>
      </c>
      <c r="D71" s="19" t="inlineStr">
        <is>
          <t>Surtido métrico chico</t>
        </is>
      </c>
      <c r="E71" s="20" t="n">
        <v>1</v>
      </c>
      <c r="F71" s="19" t="inlineStr">
        <is>
          <t>Sellos del cabezal (válvula, banjo, sensor)</t>
        </is>
      </c>
      <c r="G71" s="21" t="inlineStr">
        <is>
          <t>Comprar</t>
        </is>
      </c>
      <c r="H71" s="19" t="inlineStr">
        <is>
          <t>Local</t>
        </is>
      </c>
      <c r="I71" s="22" t="n"/>
      <c r="J71" s="23">
        <f>IF(I71="","",E71*I71)</f>
        <v/>
      </c>
      <c r="K71" s="19" t="inlineStr">
        <is>
          <t>Medidas exactas cuando esté el plano del cabezal.</t>
        </is>
      </c>
    </row>
    <row r="72" ht="23.85" customHeight="1" s="17">
      <c r="A72" s="19" t="n">
        <v>71</v>
      </c>
      <c r="B72" s="19" t="inlineStr">
        <is>
          <t>Presión de aire</t>
        </is>
      </c>
      <c r="C72" s="19" t="inlineStr">
        <is>
          <t>Manómetro de referencia</t>
        </is>
      </c>
      <c r="D72" s="19" t="inlineStr">
        <is>
          <t>Inflador digital de suspensión (p. ej. RockShox digital 300 psi) o manómetro de precisión</t>
        </is>
      </c>
      <c r="E72" s="20" t="n">
        <v>1</v>
      </c>
      <c r="F72" s="19" t="inlineStr">
        <is>
          <t>Calibrar el span de cada cabezal</t>
        </is>
      </c>
      <c r="G72" s="21" t="inlineStr">
        <is>
          <t>Decidir</t>
        </is>
      </c>
      <c r="H72" s="19" t="inlineStr">
        <is>
          <t>Local/Importar</t>
        </is>
      </c>
      <c r="I72" s="22" t="n"/>
      <c r="J72" s="23">
        <f>IF(I72="","",E72*I72)</f>
        <v/>
      </c>
      <c r="K72" s="19" t="inlineStr">
        <is>
          <t>El inflador digital alcanza para la calibración estática hasta 300 psi.</t>
        </is>
      </c>
    </row>
    <row r="73" ht="23.85" customHeight="1" s="17">
      <c r="A73" s="19" t="n">
        <v>72</v>
      </c>
      <c r="B73" s="19" t="inlineStr">
        <is>
          <t>Presión de aire</t>
        </is>
      </c>
      <c r="C73" s="19" t="inlineStr">
        <is>
          <t>Pod de presión BLE (descartado)</t>
        </is>
      </c>
      <c r="D73" s="19" t="inlineStr">
        <is>
          <t>XIAO ESP32-C3 + ADS1220 + LiPo en la válvula</t>
        </is>
      </c>
      <c r="E73" s="20" t="n">
        <v>1</v>
      </c>
      <c r="F73" s="19" t="inlineStr">
        <is>
          <t>Medir la presión con placa y batería propias</t>
        </is>
      </c>
      <c r="G73" s="21" t="inlineStr">
        <is>
          <t>Descartado</t>
        </is>
      </c>
      <c r="H73" s="19" t="inlineStr">
        <is>
          <t>—</t>
        </is>
      </c>
      <c r="I73" s="22" t="n"/>
      <c r="J73" s="23">
        <f>IF(I73="","",E73*I73)</f>
        <v/>
      </c>
      <c r="K73" s="19" t="inlineStr">
        <is>
          <t>Descartado 06/10: duplicaba electrónica, había que cargarlo y el cuerpo chocaba con bielas, pierna o manubrio. La XIAO queda libre para otro uso.</t>
        </is>
      </c>
    </row>
    <row r="74" ht="23.85" customHeight="1" s="17">
      <c r="A74" s="19" t="n">
        <v>73</v>
      </c>
      <c r="B74" s="19" t="inlineStr">
        <is>
          <t>Presión de aire</t>
        </is>
      </c>
      <c r="C74" s="19" t="inlineStr">
        <is>
          <t>Sensores digitales evaluados</t>
        </is>
      </c>
      <c r="D74" s="19" t="inlineStr">
        <is>
          <t>TE 85BSD/86BSD, MS5837-30BA, M3200, 89-03KA</t>
        </is>
      </c>
      <c r="E74" s="20" t="n">
        <v>1</v>
      </c>
      <c r="F74" s="19" t="inlineStr">
        <is>
          <t>Alternativas al 89-01KA</t>
        </is>
      </c>
      <c r="G74" s="21" t="inlineStr">
        <is>
          <t>Descartado</t>
        </is>
      </c>
      <c r="H74" s="19" t="inlineStr">
        <is>
          <t>—</t>
        </is>
      </c>
      <c r="I74" s="22" t="n"/>
      <c r="J74" s="23">
        <f>IF(I74="","",E74*I74)</f>
        <v/>
      </c>
      <c r="K74" s="19" t="inlineStr">
        <is>
          <t>85/86BSD: tope 150/300 psi. MS5837: ~420 psi útiles. M3200: grande y lento. 89-03KA: 3000 psi, desperdicia escala.</t>
        </is>
      </c>
    </row>
  </sheetData>
  <autoFilter ref="A1:K74"/>
  <dataValidations count="1">
    <dataValidation sqref="G2:G74" showDropDown="0" showInputMessage="0" showErrorMessage="0" allowBlank="1" type="list" errorStyle="stop" operator="between">
      <formula1>"Confirmar,Ya lo tengo,Comprar,Comprado,Fabricar,Decidir,Futuro,Sacar del diseño,Descartado"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6" min="1" max="1"/>
    <col width="18" customWidth="1" style="16" min="2" max="2"/>
    <col width="20" customWidth="1" style="16" min="3" max="3"/>
    <col width="16" customWidth="1" style="16" min="4" max="4"/>
  </cols>
  <sheetData>
    <row r="1" ht="15" customHeight="1" s="17">
      <c r="A1" s="24" t="inlineStr">
        <is>
          <t>Estado</t>
        </is>
      </c>
      <c r="B1" s="24" t="inlineStr">
        <is>
          <t>Cantidad de ítems</t>
        </is>
      </c>
      <c r="C1" s="24" t="inlineStr">
        <is>
          <t>Costo cargado (ARS)</t>
        </is>
      </c>
      <c r="D1" s="24" t="inlineStr">
        <is>
          <t>Ítems sin precio</t>
        </is>
      </c>
    </row>
    <row r="2" ht="15" customHeight="1" s="17">
      <c r="A2" s="25" t="inlineStr">
        <is>
          <t>Confirmar</t>
        </is>
      </c>
      <c r="B2" s="25">
        <f>COUNTIF(Componentes!$G$2:$G$74,A2)</f>
        <v/>
      </c>
      <c r="C2" s="26">
        <f>SUMIFS(Componentes!$J$2:$J$74,Componentes!$G$2:$G$74,A2)</f>
        <v/>
      </c>
      <c r="D2" s="25">
        <f>COUNTIFS(Componentes!$G$2:$G$74,A2,Componentes!$I$2:$I$74,"")</f>
        <v/>
      </c>
    </row>
    <row r="3" ht="15" customHeight="1" s="17">
      <c r="A3" s="25" t="inlineStr">
        <is>
          <t>Ya lo tengo</t>
        </is>
      </c>
      <c r="B3" s="25">
        <f>COUNTIF(Componentes!$G$2:$G$74,A3)</f>
        <v/>
      </c>
      <c r="C3" s="26">
        <f>SUMIFS(Componentes!$J$2:$J$74,Componentes!$G$2:$G$74,A3)</f>
        <v/>
      </c>
      <c r="D3" s="25">
        <f>COUNTIFS(Componentes!$G$2:$G$74,A3,Componentes!$I$2:$I$74,"")</f>
        <v/>
      </c>
    </row>
    <row r="4" ht="15" customHeight="1" s="17">
      <c r="A4" s="25" t="inlineStr">
        <is>
          <t>Comprar</t>
        </is>
      </c>
      <c r="B4" s="25">
        <f>COUNTIF(Componentes!$G$2:$G$74,A4)</f>
        <v/>
      </c>
      <c r="C4" s="26">
        <f>SUMIFS(Componentes!$J$2:$J$74,Componentes!$G$2:$G$74,A4)</f>
        <v/>
      </c>
      <c r="D4" s="25">
        <f>COUNTIFS(Componentes!$G$2:$G$74,A4,Componentes!$I$2:$I$74,"")</f>
        <v/>
      </c>
    </row>
    <row r="5" ht="15" customHeight="1" s="17">
      <c r="A5" s="25" t="inlineStr">
        <is>
          <t>Comprado</t>
        </is>
      </c>
      <c r="B5" s="25">
        <f>COUNTIF(Componentes!$G$2:$G$74,A5)</f>
        <v/>
      </c>
      <c r="C5" s="26">
        <f>SUMIFS(Componentes!$J$2:$J$74,Componentes!$G$2:$G$74,A5)</f>
        <v/>
      </c>
      <c r="D5" s="25">
        <f>COUNTIFS(Componentes!$G$2:$G$74,A5,Componentes!$I$2:$I$74,"")</f>
        <v/>
      </c>
    </row>
    <row r="6" ht="15" customHeight="1" s="17">
      <c r="A6" s="25" t="inlineStr">
        <is>
          <t>Fabricar</t>
        </is>
      </c>
      <c r="B6" s="25">
        <f>COUNTIF(Componentes!$G$2:$G$74,A6)</f>
        <v/>
      </c>
      <c r="C6" s="26">
        <f>SUMIFS(Componentes!$J$2:$J$74,Componentes!$G$2:$G$74,A6)</f>
        <v/>
      </c>
      <c r="D6" s="25">
        <f>COUNTIFS(Componentes!$G$2:$G$74,A6,Componentes!$I$2:$I$74,"")</f>
        <v/>
      </c>
    </row>
    <row r="7" ht="15" customHeight="1" s="17">
      <c r="A7" s="25" t="inlineStr">
        <is>
          <t>Decidir</t>
        </is>
      </c>
      <c r="B7" s="25">
        <f>COUNTIF(Componentes!$G$2:$G$74,A7)</f>
        <v/>
      </c>
      <c r="C7" s="26">
        <f>SUMIFS(Componentes!$J$2:$J$74,Componentes!$G$2:$G$74,A7)</f>
        <v/>
      </c>
      <c r="D7" s="25">
        <f>COUNTIFS(Componentes!$G$2:$G$74,A7,Componentes!$I$2:$I$74,"")</f>
        <v/>
      </c>
    </row>
    <row r="8" ht="15" customHeight="1" s="17">
      <c r="A8" s="25" t="inlineStr">
        <is>
          <t>Futuro</t>
        </is>
      </c>
      <c r="B8" s="25">
        <f>COUNTIF(Componentes!$G$2:$G$74,A8)</f>
        <v/>
      </c>
      <c r="C8" s="26">
        <f>SUMIFS(Componentes!$J$2:$J$74,Componentes!$G$2:$G$74,A8)</f>
        <v/>
      </c>
      <c r="D8" s="25">
        <f>COUNTIFS(Componentes!$G$2:$G$74,A8,Componentes!$I$2:$I$74,"")</f>
        <v/>
      </c>
    </row>
    <row r="9" ht="15" customHeight="1" s="17">
      <c r="A9" s="25" t="inlineStr">
        <is>
          <t>Sacar del diseño</t>
        </is>
      </c>
      <c r="B9" s="25">
        <f>COUNTIF(Componentes!$G$2:$G$74,A9)</f>
        <v/>
      </c>
      <c r="C9" s="26">
        <f>SUMIFS(Componentes!$J$2:$J$74,Componentes!$G$2:$G$74,A9)</f>
        <v/>
      </c>
      <c r="D9" s="25">
        <f>COUNTIFS(Componentes!$G$2:$G$74,A9,Componentes!$I$2:$I$74,"")</f>
        <v/>
      </c>
    </row>
    <row r="10" ht="15" customHeight="1" s="17">
      <c r="A10" s="25" t="inlineStr">
        <is>
          <t>Descartado</t>
        </is>
      </c>
      <c r="B10" s="25">
        <f>COUNTIF(Componentes!$G$2:$G$74,A10)</f>
        <v/>
      </c>
      <c r="C10" s="26">
        <f>SUMIFS(Componentes!$J$2:$J$74,Componentes!$G$2:$G$74,A10)</f>
        <v/>
      </c>
      <c r="D10" s="25">
        <f>COUNTIFS(Componentes!$G$2:$G$74,A10,Componentes!$I$2:$I$74,"")</f>
        <v/>
      </c>
    </row>
    <row r="11" ht="15" customHeight="1" s="17">
      <c r="A11" s="27" t="inlineStr">
        <is>
          <t>Total</t>
        </is>
      </c>
      <c r="B11" s="27">
        <f>SUM(B2:B10)</f>
        <v/>
      </c>
      <c r="C11" s="28">
        <f>SUM(C2:C10)</f>
        <v/>
      </c>
      <c r="D11" s="27">
        <f>SUM(D2:D10)</f>
        <v/>
      </c>
    </row>
    <row r="12" ht="15" customHeight="1" s="17">
      <c r="A12" s="29" t="n"/>
      <c r="B12" s="29" t="n"/>
      <c r="C12" s="30" t="n"/>
      <c r="D12" s="29" t="n"/>
    </row>
    <row r="13" ht="15" customHeight="1" s="17">
      <c r="A13" s="25" t="inlineStr">
        <is>
          <t>A comprar (Comprar + Decidir), costo cargado</t>
        </is>
      </c>
      <c r="B13" s="29" t="n"/>
      <c r="C13" s="26">
        <f>C4+C7</f>
        <v/>
      </c>
      <c r="D13" s="2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6" min="1" max="1"/>
    <col width="90" customWidth="1" style="16" min="2" max="2"/>
  </cols>
  <sheetData>
    <row r="1" ht="26.85" customHeight="1" s="17">
      <c r="A1" s="31" t="inlineStr">
        <is>
          <t>Cómo usar esta planilla</t>
        </is>
      </c>
      <c r="B1" s="32" t="n"/>
    </row>
    <row r="2" ht="15" customHeight="1" s="17">
      <c r="A2" s="32" t="inlineStr">
        <is>
          <t>Celdas amarillas</t>
        </is>
      </c>
      <c r="B2" s="32" t="inlineStr">
        <is>
          <t>Se completan a mano: Estado (lista desplegable) y Precio unitario. El total y el resumen se calculan solos.</t>
        </is>
      </c>
    </row>
    <row r="3" ht="15" customHeight="1" s="17">
      <c r="A3" s="32" t="inlineStr">
        <is>
          <t>Números en azul</t>
        </is>
      </c>
      <c r="B3" s="32" t="inlineStr">
        <is>
          <t>Cantidades tomadas del diseño; cambiarlas si hace falta.</t>
        </is>
      </c>
    </row>
    <row r="4" ht="15" customHeight="1" s="17">
      <c r="A4" s="32" t="inlineStr">
        <is>
          <t>Confirmar</t>
        </is>
      </c>
      <c r="B4" s="32" t="inlineStr">
        <is>
          <t>Componente del diseño original: marcar si ya lo tenés (Ya lo tengo) o si hay que comprarlo (Comprar).</t>
        </is>
      </c>
    </row>
    <row r="5" ht="15" customHeight="1" s="17">
      <c r="A5" s="32" t="inlineStr">
        <is>
          <t>Comprar</t>
        </is>
      </c>
      <c r="B5" s="32" t="inlineStr">
        <is>
          <t>Nuevo por los cambios del 25–26/09, o reemplazo.</t>
        </is>
      </c>
    </row>
    <row r="6" ht="15" customHeight="1" s="17">
      <c r="A6" s="32" t="inlineStr">
        <is>
          <t>Fabricar</t>
        </is>
      </c>
      <c r="B6" s="32" t="inlineStr">
        <is>
          <t>Se hace en el taller (portasensor, carcasa) o se manda a fabricar (PCB).</t>
        </is>
      </c>
    </row>
    <row r="7" ht="15" customHeight="1" s="17">
      <c r="A7" s="32" t="inlineStr">
        <is>
          <t>Decidir</t>
        </is>
      </c>
      <c r="B7" s="32" t="inlineStr">
        <is>
          <t>Depende de una decisión abierta de docs/PENDIENTES.md.</t>
        </is>
      </c>
    </row>
    <row r="8" ht="15" customHeight="1" s="17">
      <c r="A8" s="32" t="inlineStr">
        <is>
          <t>Futuro</t>
        </is>
      </c>
      <c r="B8" s="32" t="inlineStr">
        <is>
          <t>Opcional para una versión posterior.</t>
        </is>
      </c>
    </row>
    <row r="9" ht="15" customHeight="1" s="17">
      <c r="A9" s="32" t="inlineStr">
        <is>
          <t>Sacar del diseño</t>
        </is>
      </c>
      <c r="B9" s="32" t="inlineStr">
        <is>
          <t>Se deja de usar con el armado nuevo.</t>
        </is>
      </c>
    </row>
    <row r="10" ht="15" customHeight="1" s="17">
      <c r="A10" s="32" t="inlineStr">
        <is>
          <t>Descartado</t>
        </is>
      </c>
      <c r="B10" s="32" t="inlineStr">
        <is>
          <t>Se evaluó y se eligió otra opción.</t>
        </is>
      </c>
    </row>
    <row r="11" ht="23.85" customHeight="1" s="17">
      <c r="A11" s="32" t="inlineStr">
        <is>
          <t>Fuente</t>
        </is>
      </c>
      <c r="B11" s="32" t="inlineStr">
        <is>
          <t>docs/ARMADO_HARDWARE_SENDER.md, docs/PENDIENTES.md (26/09/2026) y docs/HARDWARE.md sección 7, presión de aire (06/10/2026). Cantidades de resistencias y capacitores: las del circuito, sin repuestos.</t>
        </is>
      </c>
    </row>
    <row r="12" ht="23.85" customHeight="1" s="17">
      <c r="A12" s="32" t="inlineStr">
        <is>
          <t>Ejemplo</t>
        </is>
      </c>
      <c r="B12" s="32" t="inlineStr">
        <is>
          <t>Ítem 16 (fila 17): DS18B20 TO-92 (pack x3), Cantidad 1, Estado Comprar; al comprarlo se pasa a Comprado y se carga el precio.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2026-09-26T16:38:56Z</dcterms:created>
  <dcterms:modified xmlns:dcterms="http://purl.org/dc/terms/" xmlns:xsi="http://www.w3.org/2001/XMLSchema-instance" xsi:type="dcterms:W3CDTF">2026-10-07T13:35:45Z</dcterms:modified>
  <cp:revision>0</cp:revision>
</cp:coreProperties>
</file>