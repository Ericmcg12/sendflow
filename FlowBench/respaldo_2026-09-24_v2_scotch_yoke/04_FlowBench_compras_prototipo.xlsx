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Compras" sheetId="2" state="visible" r:id="rId4"/>
    <sheet name="Materia prima" sheetId="3" state="visible" r:id="rId5"/>
    <sheet name="Mecanizado" sheetId="4" state="visible" r:id="rId6"/>
    <sheet name="Guías" sheetId="5" state="visible" r:id="rId7"/>
    <sheet name="Leyenda" sheetId="6" state="visible" r:id="rId8"/>
  </sheets>
  <definedNames>
    <definedName function="false" hidden="true" localSheetId="1" name="_xlnm._FilterDatabase" vbProcedure="false">Compras!$A$1:$P$103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<sst xmlns="http://schemas.openxmlformats.org/spreadsheetml/2006/main" count="989" uniqueCount="588">
  <si>
    <t xml:space="preserve">FlowBench — Prototipo 1: resumen de compras</t>
  </si>
  <si>
    <t xml:space="preserve">Costos aproximados en USD, sin cotizar. Se actualiza solo al completar las hojas Compras y Materia prima.</t>
  </si>
  <si>
    <t xml:space="preserve">Grupo</t>
  </si>
  <si>
    <t xml:space="preserve">Ítems</t>
  </si>
  <si>
    <t xml:space="preserve">Subtotal mín (USD)</t>
  </si>
  <si>
    <t xml:space="preserve">Subtotal máx (USD)</t>
  </si>
  <si>
    <t xml:space="preserve">Cotizado (USD)</t>
  </si>
  <si>
    <t xml:space="preserve">Comprados / recibidos</t>
  </si>
  <si>
    <t xml:space="preserve">Mecánica comprada</t>
  </si>
  <si>
    <t xml:space="preserve">Accionamiento y potencia</t>
  </si>
  <si>
    <t xml:space="preserve">Sensores</t>
  </si>
  <si>
    <t xml:space="preserve">Electrónica de control</t>
  </si>
  <si>
    <t xml:space="preserve">Gabinete y seguridad</t>
  </si>
  <si>
    <t xml:space="preserve">Montajes y pruebas</t>
  </si>
  <si>
    <t xml:space="preserve">Servicios tercerizados</t>
  </si>
  <si>
    <t xml:space="preserve">Herramientas</t>
  </si>
  <si>
    <t xml:space="preserve">Materia prima</t>
  </si>
  <si>
    <t xml:space="preserve">TOTAL con herramientas</t>
  </si>
  <si>
    <t xml:space="preserve">TOTAL sin herramientas</t>
  </si>
  <si>
    <t xml:space="preserve">Estado de los ítems de compra</t>
  </si>
  <si>
    <t xml:space="preserve">A cotizar</t>
  </si>
  <si>
    <t xml:space="preserve">Cotizado</t>
  </si>
  <si>
    <t xml:space="preserve">Comprado</t>
  </si>
  <si>
    <t xml:space="preserve">Recibido</t>
  </si>
  <si>
    <t xml:space="preserve">Descartado</t>
  </si>
  <si>
    <t xml:space="preserve">Supuestos:</t>
  </si>
  <si>
    <t xml:space="preserve">• Los costos son rangos aproximados de referencia, no cotizaciones. Reemplazalos por el precio real en la columna "Precio unit. cotizado".</t>
  </si>
  <si>
    <t xml:space="preserve">• El mecanizado, fresado y rectificado lo hacés vos: solo se presupuesta la materia prima y los tratamientos que conviene tercerizar.</t>
  </si>
  <si>
    <t xml:space="preserve">• Columnas, guías del yugo y vástago: barras cromadas de tu stock (costo 0). Verificar las guías en la hoja Guías.</t>
  </si>
  <si>
    <t xml:space="preserve">• Mecanismo: scotch yoke con doble rodillo precargado dentro de la base; carrera máxima 200 mm.</t>
  </si>
  <si>
    <t xml:space="preserve">• La electrónica es preliminar: se confirma al diseñar la placa de control.</t>
  </si>
  <si>
    <t xml:space="preserve">• No incluye mano de obra propia ni horas de diseño.</t>
  </si>
  <si>
    <t xml:space="preserve">ID</t>
  </si>
  <si>
    <t xml:space="preserve">Componente</t>
  </si>
  <si>
    <t xml:space="preserve">Especificación</t>
  </si>
  <si>
    <t xml:space="preserve">Cant.</t>
  </si>
  <si>
    <t xml:space="preserve">Unidad</t>
  </si>
  <si>
    <t xml:space="preserve">Costo unit. mín (USD)</t>
  </si>
  <si>
    <t xml:space="preserve">Costo unit. máx (USD)</t>
  </si>
  <si>
    <t xml:space="preserve">Proveedor</t>
  </si>
  <si>
    <t xml:space="preserve">Precio unit. cotizado (USD)</t>
  </si>
  <si>
    <t xml:space="preserve">Subtotal cotizado (USD)</t>
  </si>
  <si>
    <t xml:space="preserve">Estado</t>
  </si>
  <si>
    <t xml:space="preserve">Etapa de compra</t>
  </si>
  <si>
    <t xml:space="preserve">Notas</t>
  </si>
  <si>
    <t xml:space="preserve">M01</t>
  </si>
  <si>
    <t xml:space="preserve">Seguidores de leva (rodillos del yugo)</t>
  </si>
  <si>
    <t xml:space="preserve">Ø 35–40 mm con rodamiento, capacidad ≥ 15 kN, perno Ø 20</t>
  </si>
  <si>
    <t xml:space="preserve">u</t>
  </si>
  <si>
    <t xml:space="preserve">Uno de los dos va sobre buje excéntrico (se fabrica) para precargar contra la ranura. Verificar capacidad en catálogo</t>
  </si>
  <si>
    <t xml:space="preserve">M02</t>
  </si>
  <si>
    <t xml:space="preserve">Soportes del cigüeñal</t>
  </si>
  <si>
    <t xml:space="preserve">Soporte de pie con rodamiento de rodillos a rótula, eje Ø40</t>
  </si>
  <si>
    <t xml:space="preserve">M03</t>
  </si>
  <si>
    <t xml:space="preserve">Sellos del vástago</t>
  </si>
  <si>
    <t xml:space="preserve">Buje guía (se fabrica en bronce) + rascador + sello para vástago Ø30</t>
  </si>
  <si>
    <t xml:space="preserve">juego</t>
  </si>
  <si>
    <t xml:space="preserve">De tu stock de repuestos de cilindros si tenés la medida</t>
  </si>
  <si>
    <t xml:space="preserve">M04</t>
  </si>
  <si>
    <t xml:space="preserve">Rodamientos de repuesto</t>
  </si>
  <si>
    <t xml:space="preserve">Un juego de rodillos y rodamientos del cigüeñal</t>
  </si>
  <si>
    <t xml:space="preserve">lote</t>
  </si>
  <si>
    <t xml:space="preserve">M05</t>
  </si>
  <si>
    <t xml:space="preserve">Limitador de torque</t>
  </si>
  <si>
    <t xml:space="preserve">De fricción, para eje Ø40, regulable ≈ 150–200 N·m</t>
  </si>
  <si>
    <t xml:space="preserve">M06</t>
  </si>
  <si>
    <t xml:space="preserve">Resortes de disco (Belleville)</t>
  </si>
  <si>
    <t xml:space="preserve">DIN 2093, pila con precarga ≈ 8 kN para el cartucho de sobrecarga</t>
  </si>
  <si>
    <t xml:space="preserve">Diámetro según diseño del cartucho</t>
  </si>
  <si>
    <t xml:space="preserve">M07</t>
  </si>
  <si>
    <t xml:space="preserve">Palancas de traba del puente</t>
  </si>
  <si>
    <t xml:space="preserve">Palanca de leva o excéntrica para traba partida, rosca M12–M16</t>
  </si>
  <si>
    <t xml:space="preserve">Como las de LABA7: se traban sin herramientas</t>
  </si>
  <si>
    <t xml:space="preserve">M08</t>
  </si>
  <si>
    <t xml:space="preserve">Topes de seguridad</t>
  </si>
  <si>
    <t xml:space="preserve">Collar partido Ø 40 con manija, uno por columna</t>
  </si>
  <si>
    <t xml:space="preserve">Evitan que el puente caiga al soltar las palancas</t>
  </si>
  <si>
    <t xml:space="preserve">M09</t>
  </si>
  <si>
    <t xml:space="preserve">Perillas para pernos de las U</t>
  </si>
  <si>
    <t xml:space="preserve">Perilla roscada de ajuste rápido</t>
  </si>
  <si>
    <t xml:space="preserve">M10</t>
  </si>
  <si>
    <t xml:space="preserve">Fuelle del vástago</t>
  </si>
  <si>
    <t xml:space="preserve">Protege el vástago y el rascador del aceite</t>
  </si>
  <si>
    <t xml:space="preserve">M11</t>
  </si>
  <si>
    <t xml:space="preserve">Patas niveladoras</t>
  </si>
  <si>
    <t xml:space="preserve">≥ 100 kg c/u, base de goma dura</t>
  </si>
  <si>
    <t xml:space="preserve">M12</t>
  </si>
  <si>
    <t xml:space="preserve">Tornillería de alta resistencia</t>
  </si>
  <si>
    <t xml:space="preserve">Clase 10.9 / 12.9; tuercas de columnas</t>
  </si>
  <si>
    <t xml:space="preserve">M13</t>
  </si>
  <si>
    <t xml:space="preserve">Chavetas, arandelas, seegers, prisioneros</t>
  </si>
  <si>
    <t xml:space="preserve">Surtido</t>
  </si>
  <si>
    <t xml:space="preserve">M14</t>
  </si>
  <si>
    <t xml:space="preserve">Lubricantes</t>
  </si>
  <si>
    <t xml:space="preserve">Grasa para rodamientos y rodillos, aceite para guías</t>
  </si>
  <si>
    <t xml:space="preserve">A01</t>
  </si>
  <si>
    <t xml:space="preserve">Motor trifásico</t>
  </si>
  <si>
    <t xml:space="preserve">Opción A: 2,2 kW, 4 polos, 1.450 rpm, forma B3 (patas), triángulo 3 × 220 V</t>
  </si>
  <si>
    <t xml:space="preserve">Ej. WEG. Confirmar que admite ≈ 3.000 rpm (≈ 100 Hz). Si se elige servomotor (fila A18), descartar esta fila</t>
  </si>
  <si>
    <t xml:space="preserve">A02</t>
  </si>
  <si>
    <t xml:space="preserve">Variador de frecuencia</t>
  </si>
  <si>
    <t xml:space="preserve">Opción A: vectorial sin sensor, entrada 1 × 220 V, salida 3 × 220 V, 2,2 kW, hasta ≈ 100 Hz, entrada STO, Modbus RS-485</t>
  </si>
  <si>
    <t xml:space="preserve">4 kW con entrada monofásica no se consigue. Verificar si alguno de tus variadores de 2,2 kW cumple</t>
  </si>
  <si>
    <t xml:space="preserve">A03</t>
  </si>
  <si>
    <t xml:space="preserve">Resistencia de frenado</t>
  </si>
  <si>
    <t xml:space="preserve">Según manual del variador</t>
  </si>
  <si>
    <t xml:space="preserve">A04</t>
  </si>
  <si>
    <t xml:space="preserve">Filtro EMC de línea</t>
  </si>
  <si>
    <t xml:space="preserve">Monofásico, corriente según variador</t>
  </si>
  <si>
    <t xml:space="preserve">Solo si el variador no lo trae incorporado</t>
  </si>
  <si>
    <t xml:space="preserve">A05</t>
  </si>
  <si>
    <t xml:space="preserve">Polea motriz</t>
  </si>
  <si>
    <t xml:space="preserve">HTD 8M, 30 mm de ancho, ≈ 22 dientes</t>
  </si>
  <si>
    <t xml:space="preserve">Agujero a medida en tu torno</t>
  </si>
  <si>
    <t xml:space="preserve">A06</t>
  </si>
  <si>
    <t xml:space="preserve">Polea conducida</t>
  </si>
  <si>
    <t xml:space="preserve">HTD 8M, 30 mm de ancho, ≈ 110 dientes (relación 5:1 para la opción A)</t>
  </si>
  <si>
    <t xml:space="preserve">Con servomotor, relación 4:1 (≈ 88 dientes)</t>
  </si>
  <si>
    <t xml:space="preserve">A07</t>
  </si>
  <si>
    <t xml:space="preserve">Correa dentada</t>
  </si>
  <si>
    <t xml:space="preserve">HTD 8M-30, largo según CAD</t>
  </si>
  <si>
    <t xml:space="preserve">Incluye una de repuesto</t>
  </si>
  <si>
    <t xml:space="preserve">A08</t>
  </si>
  <si>
    <t xml:space="preserve">Bujes cónicos para poleas</t>
  </si>
  <si>
    <t xml:space="preserve">Taper lock según poleas</t>
  </si>
  <si>
    <t xml:space="preserve">Opcional si hacés el agujero directo</t>
  </si>
  <si>
    <t xml:space="preserve">A09</t>
  </si>
  <si>
    <t xml:space="preserve">Interruptor termomagnético</t>
  </si>
  <si>
    <t xml:space="preserve">Bipolar, según corriente de entrada del variador (≈ 20–25 A con 2,2 kW)</t>
  </si>
  <si>
    <t xml:space="preserve">Dimensiona el electricista</t>
  </si>
  <si>
    <t xml:space="preserve">A10</t>
  </si>
  <si>
    <t xml:space="preserve">Disyuntor diferencial</t>
  </si>
  <si>
    <t xml:space="preserve">Bipolar, tipo apto para variadores</t>
  </si>
  <si>
    <t xml:space="preserve">A11</t>
  </si>
  <si>
    <t xml:space="preserve">Contactor principal</t>
  </si>
  <si>
    <t xml:space="preserve">25 A, bobina 24 VDC, comandado por el relé de seguridad</t>
  </si>
  <si>
    <t xml:space="preserve">A12</t>
  </si>
  <si>
    <t xml:space="preserve">Toma y ficha industrial</t>
  </si>
  <si>
    <t xml:space="preserve">2P+T, 32 A</t>
  </si>
  <si>
    <t xml:space="preserve">A13</t>
  </si>
  <si>
    <t xml:space="preserve">Cable de alimentación</t>
  </si>
  <si>
    <t xml:space="preserve">Sección según corriente</t>
  </si>
  <si>
    <t xml:space="preserve">A14</t>
  </si>
  <si>
    <t xml:space="preserve">Cable de motor blindado</t>
  </si>
  <si>
    <t xml:space="preserve">4 × 2,5 mm², ≈ 5 m</t>
  </si>
  <si>
    <t xml:space="preserve">Blindado para reducir ruido eléctrico en los sensores</t>
  </si>
  <si>
    <t xml:space="preserve">A15</t>
  </si>
  <si>
    <t xml:space="preserve">Gabinete eléctrico</t>
  </si>
  <si>
    <t xml:space="preserve">Metálico, con ventilación y riel DIN</t>
  </si>
  <si>
    <t xml:space="preserve">A16</t>
  </si>
  <si>
    <t xml:space="preserve">Riel DIN, canal de cables, borneras, terminales</t>
  </si>
  <si>
    <t xml:space="preserve">Surtido para el tablero</t>
  </si>
  <si>
    <t xml:space="preserve">A17</t>
  </si>
  <si>
    <t xml:space="preserve">Fusibles y portafusibles DIN</t>
  </si>
  <si>
    <t xml:space="preserve">Para circuitos de 24 V, 12 V y 5 V</t>
  </si>
  <si>
    <t xml:space="preserve">A18</t>
  </si>
  <si>
    <t xml:space="preserve">Alternativa: servomotor + servodrive</t>
  </si>
  <si>
    <t xml:space="preserve">Opción B: servo AC ≈ 3 kW con encoder, drive con entrada 1 × 220 V, torque pico ≈ 3 veces el nominal</t>
  </si>
  <si>
    <t xml:space="preserve">No se suma al total. Cotizar para comparar: confirmar que el drive acepte entrada monofásica a esa potencia</t>
  </si>
  <si>
    <t xml:space="preserve">S01</t>
  </si>
  <si>
    <t xml:space="preserve">Celda de carga</t>
  </si>
  <si>
    <t xml:space="preserve">10 kN, tracción–compresión, en línea, apta para fatiga, roscas en ambos extremos</t>
  </si>
  <si>
    <t xml:space="preserve">Pedir con certificado de calibración. Rosca a definir en CAD</t>
  </si>
  <si>
    <t xml:space="preserve">S02</t>
  </si>
  <si>
    <t xml:space="preserve">Cable y conector de la celda</t>
  </si>
  <si>
    <t xml:space="preserve">Cable blindado + conector M12</t>
  </si>
  <si>
    <t xml:space="preserve">S03</t>
  </si>
  <si>
    <t xml:space="preserve">Encoder lineal (cabezal)</t>
  </si>
  <si>
    <t xml:space="preserve">Magnético sin contacto, resolución ≤ 1 µm, salida RS-422 incremental o SSI absoluta</t>
  </si>
  <si>
    <t xml:space="preserve">Plazo largo: pedir temprano</t>
  </si>
  <si>
    <t xml:space="preserve">S04</t>
  </si>
  <si>
    <t xml:space="preserve">Cinta magnética del encoder</t>
  </si>
  <si>
    <t xml:space="preserve">≥ 300 mm (recorrido útil ≥ 250 mm)</t>
  </si>
  <si>
    <t xml:space="preserve">S05</t>
  </si>
  <si>
    <t xml:space="preserve">Encoder angular del cigüeñal</t>
  </si>
  <si>
    <t xml:space="preserve">Magnético absoluto 14 bits, SPI (ej. AS5048A)</t>
  </si>
  <si>
    <t xml:space="preserve">S06</t>
  </si>
  <si>
    <t xml:space="preserve">Imán diametral para encoder angular</t>
  </si>
  <si>
    <t xml:space="preserve">Según encoder</t>
  </si>
  <si>
    <t xml:space="preserve">S07</t>
  </si>
  <si>
    <t xml:space="preserve">Sensores inductivos</t>
  </si>
  <si>
    <t xml:space="preserve">M8, PNP, 24 V, para detectar el perno de manivela</t>
  </si>
  <si>
    <t xml:space="preserve">El método exacto de identificación del agujero se define en CAD</t>
  </si>
  <si>
    <t xml:space="preserve">S08</t>
  </si>
  <si>
    <t xml:space="preserve">Sensor de temperatura IR</t>
  </si>
  <si>
    <t xml:space="preserve">Sin contacto, salida digital I²C (ej. MLX90614)</t>
  </si>
  <si>
    <t xml:space="preserve">S09</t>
  </si>
  <si>
    <t xml:space="preserve">Termocupla tipo K con pinza + conversor</t>
  </si>
  <si>
    <t xml:space="preserve">Conversor digital (ej. MAX31855)</t>
  </si>
  <si>
    <t xml:space="preserve">Opcional, como segunda medición de temperatura</t>
  </si>
  <si>
    <t xml:space="preserve">E01</t>
  </si>
  <si>
    <t xml:space="preserve">Teensy 4.1</t>
  </si>
  <si>
    <t xml:space="preserve">Controlador de tiempo real (con pines soldados)</t>
  </si>
  <si>
    <t xml:space="preserve">Mismo micro que Sender</t>
  </si>
  <si>
    <t xml:space="preserve">E02</t>
  </si>
  <si>
    <t xml:space="preserve">Conversor A/D de 24 bits</t>
  </si>
  <si>
    <t xml:space="preserve">Módulo ADS1256 (24 bits, hasta 30 kS/s, PGA hasta 64) para el puente de galgas de la celda</t>
  </si>
  <si>
    <t xml:space="preserve">E03</t>
  </si>
  <si>
    <t xml:space="preserve">Referencia de excitación de la celda</t>
  </si>
  <si>
    <t xml:space="preserve">Regulador o referencia de 5 V de bajo ruido (ej. REF5050 o LT3042)</t>
  </si>
  <si>
    <t xml:space="preserve">E04</t>
  </si>
  <si>
    <t xml:space="preserve">Receptor diferencial RS-422</t>
  </si>
  <si>
    <t xml:space="preserve">Ej. AM26LV32, para la señal del encoder lineal</t>
  </si>
  <si>
    <t xml:space="preserve">E05</t>
  </si>
  <si>
    <t xml:space="preserve">Transceptor RS-485 de 3,3 V</t>
  </si>
  <si>
    <t xml:space="preserve">Ej. MAX3485, para Modbus con el variador</t>
  </si>
  <si>
    <t xml:space="preserve">E06</t>
  </si>
  <si>
    <t xml:space="preserve">Salida analógica 0–10 V aislada</t>
  </si>
  <si>
    <t xml:space="preserve">DAC + amplificador + aislamiento</t>
  </si>
  <si>
    <t xml:space="preserve">Respaldo si el variador no se maneja por Modbus</t>
  </si>
  <si>
    <t xml:space="preserve">E07</t>
  </si>
  <si>
    <t xml:space="preserve">Optoacopladores para entradas de 24 V</t>
  </si>
  <si>
    <t xml:space="preserve">PC817 + resistencias: puerta, tapas, sobrecarga, inductivos, estado del relé de seguridad</t>
  </si>
  <si>
    <t xml:space="preserve">E08</t>
  </si>
  <si>
    <t xml:space="preserve">Módulo de relés 24 V</t>
  </si>
  <si>
    <t xml:space="preserve">4 canales: habilitación del variador, soplador, luz, reserva</t>
  </si>
  <si>
    <t xml:space="preserve">No reemplaza la cadena de seguridad por hardware</t>
  </si>
  <si>
    <t xml:space="preserve">E09</t>
  </si>
  <si>
    <t xml:space="preserve">PCB de control a medida</t>
  </si>
  <si>
    <t xml:space="preserve">Placa base para Teensy, A/D, interfaces y conectores</t>
  </si>
  <si>
    <t xml:space="preserve">Lote mínimo típico de 5 placas</t>
  </si>
  <si>
    <t xml:space="preserve">E10</t>
  </si>
  <si>
    <t xml:space="preserve">Componentes pasivos, zócalos y headers</t>
  </si>
  <si>
    <t xml:space="preserve">Surtido para la PCB</t>
  </si>
  <si>
    <t xml:space="preserve">E11</t>
  </si>
  <si>
    <t xml:space="preserve">Computadora de interfaz</t>
  </si>
  <si>
    <t xml:space="preserve">Raspberry Pi 5, 8 GB</t>
  </si>
  <si>
    <t xml:space="preserve">Corre SendFlow Lab</t>
  </si>
  <si>
    <t xml:space="preserve">E12</t>
  </si>
  <si>
    <t xml:space="preserve">Almacenamiento</t>
  </si>
  <si>
    <t xml:space="preserve">Placa M.2 (HAT) + SSD NVMe 256 GB</t>
  </si>
  <si>
    <t xml:space="preserve">Base de datos de clientes y ensayos</t>
  </si>
  <si>
    <t xml:space="preserve">E13</t>
  </si>
  <si>
    <t xml:space="preserve">Disipador activo para la computadora</t>
  </si>
  <si>
    <t xml:space="preserve">Oficial o equivalente</t>
  </si>
  <si>
    <t xml:space="preserve">E14</t>
  </si>
  <si>
    <t xml:space="preserve">Batería del reloj (RTC)</t>
  </si>
  <si>
    <t xml:space="preserve">Para mantener fecha y hora sin internet</t>
  </si>
  <si>
    <t xml:space="preserve">Importante: fechas de visitas y ensayos</t>
  </si>
  <si>
    <t xml:space="preserve">E15</t>
  </si>
  <si>
    <t xml:space="preserve">Tarjeta microSD</t>
  </si>
  <si>
    <t xml:space="preserve">Arranque de respaldo / imagen del sistema</t>
  </si>
  <si>
    <t xml:space="preserve">E16</t>
  </si>
  <si>
    <t xml:space="preserve">Pantalla táctil</t>
  </si>
  <si>
    <t xml:space="preserve">15,6", capacitiva, HDMI + USB táctil, brillo alto</t>
  </si>
  <si>
    <t xml:space="preserve">Verificar alimentación (5 o 12 V)</t>
  </si>
  <si>
    <t xml:space="preserve">E17</t>
  </si>
  <si>
    <t xml:space="preserve">Cables HDMI y USB cortos</t>
  </si>
  <si>
    <t xml:space="preserve">Incluye USB para Teensy ↔ computadora</t>
  </si>
  <si>
    <t xml:space="preserve">E18</t>
  </si>
  <si>
    <t xml:space="preserve">Fuente 24 V</t>
  </si>
  <si>
    <t xml:space="preserve">Riel DIN, ≈ 5 A: sensores, relés, enclavamientos</t>
  </si>
  <si>
    <t xml:space="preserve">E19</t>
  </si>
  <si>
    <t xml:space="preserve">Convertidor 24 → 5 V</t>
  </si>
  <si>
    <t xml:space="preserve">≈ 5 A, para computadora y Teensy</t>
  </si>
  <si>
    <t xml:space="preserve">E20</t>
  </si>
  <si>
    <t xml:space="preserve">Convertidor 24 → 12 V</t>
  </si>
  <si>
    <t xml:space="preserve">≈ 3 A, para la pantalla si lo requiere</t>
  </si>
  <si>
    <t xml:space="preserve">E21</t>
  </si>
  <si>
    <t xml:space="preserve">Extensión USB de panel</t>
  </si>
  <si>
    <t xml:space="preserve">Para exportar datos sin abrir el gabinete</t>
  </si>
  <si>
    <t xml:space="preserve">E22</t>
  </si>
  <si>
    <t xml:space="preserve">Conector RJ45 de panel</t>
  </si>
  <si>
    <t xml:space="preserve">Ethernet opcional</t>
  </si>
  <si>
    <t xml:space="preserve">E23</t>
  </si>
  <si>
    <t xml:space="preserve">Conectores M12</t>
  </si>
  <si>
    <t xml:space="preserve">Pares macho + hembra para sensores</t>
  </si>
  <si>
    <t xml:space="preserve">par</t>
  </si>
  <si>
    <t xml:space="preserve">E24</t>
  </si>
  <si>
    <t xml:space="preserve">Prensaestopas</t>
  </si>
  <si>
    <t xml:space="preserve">E25</t>
  </si>
  <si>
    <t xml:space="preserve">Cable blindado de señal</t>
  </si>
  <si>
    <t xml:space="preserve">4 × 0,25 mm², ≈ 20 m</t>
  </si>
  <si>
    <t xml:space="preserve">E26</t>
  </si>
  <si>
    <t xml:space="preserve">Ferritas</t>
  </si>
  <si>
    <t xml:space="preserve">Surtido para cables de señal y USB</t>
  </si>
  <si>
    <t xml:space="preserve">E27</t>
  </si>
  <si>
    <t xml:space="preserve">Luz piloto "máquina energizada"</t>
  </si>
  <si>
    <t xml:space="preserve">24 V</t>
  </si>
  <si>
    <t xml:space="preserve">G01</t>
  </si>
  <si>
    <t xml:space="preserve">Perfil de aluminio ranurado</t>
  </si>
  <si>
    <t xml:space="preserve">40 × 40, para marco del gabinete de ensayo (≈ 1,2 m sobre la base)</t>
  </si>
  <si>
    <t xml:space="preserve">G02</t>
  </si>
  <si>
    <t xml:space="preserve">Ventana frontal de la base</t>
  </si>
  <si>
    <t xml:space="preserve">Policarbonato 6 mm, para ver el mecanismo</t>
  </si>
  <si>
    <t xml:space="preserve">G03</t>
  </si>
  <si>
    <t xml:space="preserve">Uniones, escuadras y tuercas en T</t>
  </si>
  <si>
    <t xml:space="preserve">Para el perfil</t>
  </si>
  <si>
    <t xml:space="preserve">G04</t>
  </si>
  <si>
    <t xml:space="preserve">Policarbonato</t>
  </si>
  <si>
    <t xml:space="preserve">8 mm, paneles laterales y puerta</t>
  </si>
  <si>
    <t xml:space="preserve">G05</t>
  </si>
  <si>
    <t xml:space="preserve">Bisagras, manija y cierre</t>
  </si>
  <si>
    <t xml:space="preserve">Puerta frontal</t>
  </si>
  <si>
    <t xml:space="preserve">G06</t>
  </si>
  <si>
    <t xml:space="preserve">Interruptor de seguridad de puerta</t>
  </si>
  <si>
    <t xml:space="preserve">Con enclavamiento, cableado al STO del variador</t>
  </si>
  <si>
    <t xml:space="preserve">G07</t>
  </si>
  <si>
    <t xml:space="preserve">Parada de emergencia</t>
  </si>
  <si>
    <t xml:space="preserve">Hongo con retención, contactos de seguridad</t>
  </si>
  <si>
    <t xml:space="preserve">G08</t>
  </si>
  <si>
    <t xml:space="preserve">Interruptores de seguridad de tapas</t>
  </si>
  <si>
    <t xml:space="preserve">Acceso a correa y plato</t>
  </si>
  <si>
    <t xml:space="preserve">G09</t>
  </si>
  <si>
    <t xml:space="preserve">Relé de seguridad</t>
  </si>
  <si>
    <t xml:space="preserve">Cadena de emergencia, puerta, tapas y sobrecarga</t>
  </si>
  <si>
    <t xml:space="preserve">G10</t>
  </si>
  <si>
    <t xml:space="preserve">Fin de carrera del cartucho de sobrecarga</t>
  </si>
  <si>
    <t xml:space="preserve">Contacto de seguridad</t>
  </si>
  <si>
    <t xml:space="preserve">G11</t>
  </si>
  <si>
    <t xml:space="preserve">Bandeja de acero inoxidable</t>
  </si>
  <si>
    <t xml:space="preserve">Bajo la zona de ensayo</t>
  </si>
  <si>
    <t xml:space="preserve">G12</t>
  </si>
  <si>
    <t xml:space="preserve">Soplador</t>
  </si>
  <si>
    <t xml:space="preserve">Centrífugo 24 V con control de velocidad</t>
  </si>
  <si>
    <t xml:space="preserve">G13</t>
  </si>
  <si>
    <t xml:space="preserve">Luz interior</t>
  </si>
  <si>
    <t xml:space="preserve">Tira LED 24 V</t>
  </si>
  <si>
    <t xml:space="preserve">K01</t>
  </si>
  <si>
    <t xml:space="preserve">Ejes de taller</t>
  </si>
  <si>
    <t xml:space="preserve">15 × 110 y 20 × 110</t>
  </si>
  <si>
    <t xml:space="preserve">K02</t>
  </si>
  <si>
    <t xml:space="preserve">Shocks usados de prueba</t>
  </si>
  <si>
    <t xml:space="preserve">Fox y RockShox: uno de referencia y uno para pruebas destructivas</t>
  </si>
  <si>
    <t xml:space="preserve">Costo según mercado de usados: completar al cotizar</t>
  </si>
  <si>
    <t xml:space="preserve">K03</t>
  </si>
  <si>
    <t xml:space="preserve">Horquilla usada de prueba</t>
  </si>
  <si>
    <t xml:space="preserve">Doble corona o simple, para relevamiento y pruebas</t>
  </si>
  <si>
    <t xml:space="preserve">T01</t>
  </si>
  <si>
    <t xml:space="preserve">Templado de pernos</t>
  </si>
  <si>
    <t xml:space="preserve">Perno de manivela, pernos de ojo (el rectificado lo hacés vos)</t>
  </si>
  <si>
    <t xml:space="preserve">T02</t>
  </si>
  <si>
    <t xml:space="preserve">Temple de las caras de la ranura del yugo</t>
  </si>
  <si>
    <t xml:space="preserve">Temple por inducción o nitrurado; rectificado propio</t>
  </si>
  <si>
    <t xml:space="preserve">Las caras donde ruedan los rodillos tienen que quedar duras</t>
  </si>
  <si>
    <t xml:space="preserve">T03</t>
  </si>
  <si>
    <t xml:space="preserve">Planeado de la placa de base</t>
  </si>
  <si>
    <t xml:space="preserve">Rectificado plano después de soldar</t>
  </si>
  <si>
    <t xml:space="preserve">Propio: rectificadora plana</t>
  </si>
  <si>
    <t xml:space="preserve">T04</t>
  </si>
  <si>
    <t xml:space="preserve">Agujeros del plato de manivela</t>
  </si>
  <si>
    <t xml:space="preserve">23 agujeros H7, posición ± 0,02 mm</t>
  </si>
  <si>
    <t xml:space="preserve">Propio: fresado en tu taller</t>
  </si>
  <si>
    <t xml:space="preserve">T05</t>
  </si>
  <si>
    <t xml:space="preserve">Mandrinado de alojamientos de bujes</t>
  </si>
  <si>
    <t xml:space="preserve">Yugo y puente, en una sola atada</t>
  </si>
  <si>
    <t xml:space="preserve">T06</t>
  </si>
  <si>
    <t xml:space="preserve">Balanceo dinámico</t>
  </si>
  <si>
    <t xml:space="preserve">Plato + contrapeso + volante</t>
  </si>
  <si>
    <t xml:space="preserve">T07</t>
  </si>
  <si>
    <t xml:space="preserve">Granallado y pintura de la base</t>
  </si>
  <si>
    <t xml:space="preserve">Epoxi + poliuretano</t>
  </si>
  <si>
    <t xml:space="preserve">T08</t>
  </si>
  <si>
    <t xml:space="preserve">Soldadura de la base</t>
  </si>
  <si>
    <t xml:space="preserve">Solo si no la hacés vos</t>
  </si>
  <si>
    <t xml:space="preserve">T09</t>
  </si>
  <si>
    <t xml:space="preserve">Calibración de la celda en laboratorio</t>
  </si>
  <si>
    <t xml:space="preserve">Laboratorio de metrología</t>
  </si>
  <si>
    <t xml:space="preserve">Opcional si conseguís celda de referencia</t>
  </si>
  <si>
    <t xml:space="preserve">T10</t>
  </si>
  <si>
    <t xml:space="preserve">Rectificado o cromado de columnas</t>
  </si>
  <si>
    <t xml:space="preserve">No hace falta: se usan tus barras cromadas</t>
  </si>
  <si>
    <t xml:space="preserve">H01</t>
  </si>
  <si>
    <t xml:space="preserve">Reloj comparador con base magnética</t>
  </si>
  <si>
    <t xml:space="preserve">Resolución 0,01 mm (ideal 0,001 mm)</t>
  </si>
  <si>
    <t xml:space="preserve">Si ya lo tenés, costo 0</t>
  </si>
  <si>
    <t xml:space="preserve">H02</t>
  </si>
  <si>
    <t xml:space="preserve">Micrómetro de exteriores 25–50 mm</t>
  </si>
  <si>
    <t xml:space="preserve">Resolución 0,001 mm</t>
  </si>
  <si>
    <t xml:space="preserve">Para medir el diámetro real de tus barras</t>
  </si>
  <si>
    <t xml:space="preserve">H03</t>
  </si>
  <si>
    <t xml:space="preserve">Lima de prueba de dureza o durómetro portátil</t>
  </si>
  <si>
    <t xml:space="preserve">Verificar dureza de las barras</t>
  </si>
  <si>
    <t xml:space="preserve">H04</t>
  </si>
  <si>
    <t xml:space="preserve">Escuadra y nivel de precisión</t>
  </si>
  <si>
    <t xml:space="preserve">Perpendicularidad y nivelación</t>
  </si>
  <si>
    <t xml:space="preserve">H05</t>
  </si>
  <si>
    <t xml:space="preserve">Torquímetro</t>
  </si>
  <si>
    <t xml:space="preserve">Rango hasta ≈ 200 N·m</t>
  </si>
  <si>
    <t xml:space="preserve">H06</t>
  </si>
  <si>
    <t xml:space="preserve">Multímetro</t>
  </si>
  <si>
    <t xml:space="preserve">H07</t>
  </si>
  <si>
    <t xml:space="preserve">Osciloscopio</t>
  </si>
  <si>
    <t xml:space="preserve">Opcional, para ruido eléctrico</t>
  </si>
  <si>
    <t xml:space="preserve">H08</t>
  </si>
  <si>
    <t xml:space="preserve">Tacómetro óptico</t>
  </si>
  <si>
    <t xml:space="preserve">Verificar rpm</t>
  </si>
  <si>
    <t xml:space="preserve">TOTAL</t>
  </si>
  <si>
    <t xml:space="preserve">Pieza / uso</t>
  </si>
  <si>
    <t xml:space="preserve">Material</t>
  </si>
  <si>
    <t xml:space="preserve">Medida aprox.</t>
  </si>
  <si>
    <t xml:space="preserve">Costo mín (USD)</t>
  </si>
  <si>
    <t xml:space="preserve">Costo máx (USD)</t>
  </si>
  <si>
    <t xml:space="preserve">Precio cotizado (USD)</t>
  </si>
  <si>
    <t xml:space="preserve">MP01</t>
  </si>
  <si>
    <t xml:space="preserve">Columnas</t>
  </si>
  <si>
    <t xml:space="preserve">Barra cromada Ø40 de tu stock</t>
  </si>
  <si>
    <t xml:space="preserve">Ø40 × ≈ 1.350 mm (≈ 1,2 m libres + anclaje)</t>
  </si>
  <si>
    <t xml:space="preserve">Solo sostienen el puente: la rectitud y la dureza no son críticas. Largo final según relevamiento</t>
  </si>
  <si>
    <t xml:space="preserve">MP02</t>
  </si>
  <si>
    <t xml:space="preserve">Guías del yugo</t>
  </si>
  <si>
    <t xml:space="preserve">Barra cromada Ø30 de tu stock</t>
  </si>
  <si>
    <t xml:space="preserve">Ø30 × ≈ 450 mm</t>
  </si>
  <si>
    <t xml:space="preserve">Verificar diámetro y rectitud en la hoja Guías</t>
  </si>
  <si>
    <t xml:space="preserve">MP03</t>
  </si>
  <si>
    <t xml:space="preserve">Vástago</t>
  </si>
  <si>
    <t xml:space="preserve">Como un vástago de cilindro: rosca en las puntas</t>
  </si>
  <si>
    <t xml:space="preserve">MP04</t>
  </si>
  <si>
    <t xml:space="preserve">Eje del cigüeñal</t>
  </si>
  <si>
    <t xml:space="preserve">SAE 4140 bonificado</t>
  </si>
  <si>
    <t xml:space="preserve">Ø45 × 450 mm</t>
  </si>
  <si>
    <t xml:space="preserve">MP05</t>
  </si>
  <si>
    <t xml:space="preserve">Plato de manivela</t>
  </si>
  <si>
    <t xml:space="preserve">Disco Ø270 × 40 mm</t>
  </si>
  <si>
    <t xml:space="preserve">MP06</t>
  </si>
  <si>
    <t xml:space="preserve">Yugo</t>
  </si>
  <si>
    <t xml:space="preserve">Bloque 60 × 90 × 320 mm</t>
  </si>
  <si>
    <t xml:space="preserve">Ranura fresada; caras templadas (servicio) y rectificadas</t>
  </si>
  <si>
    <t xml:space="preserve">MP07</t>
  </si>
  <si>
    <t xml:space="preserve">Pernos (manivela, buje excéntrico)</t>
  </si>
  <si>
    <t xml:space="preserve">SAE 4140 o acero para temple</t>
  </si>
  <si>
    <t xml:space="preserve">Ø30 × 300 mm</t>
  </si>
  <si>
    <t xml:space="preserve">MP08</t>
  </si>
  <si>
    <t xml:space="preserve">Bujes de bronce (guías del yugo, puente, vástago)</t>
  </si>
  <si>
    <t xml:space="preserve">Bronce SAE 64</t>
  </si>
  <si>
    <t xml:space="preserve">Barra hueca o maciza Ø60 × 400 mm</t>
  </si>
  <si>
    <t xml:space="preserve">Se terminan ajustados a las barras reales</t>
  </si>
  <si>
    <t xml:space="preserve">MP09</t>
  </si>
  <si>
    <t xml:space="preserve">Puente</t>
  </si>
  <si>
    <t xml:space="preserve">Acero SAE 1045 o aluminio 7075</t>
  </si>
  <si>
    <t xml:space="preserve">40 × 100 × 460 mm</t>
  </si>
  <si>
    <t xml:space="preserve">Con bolsillos para aliviarlo</t>
  </si>
  <si>
    <t xml:space="preserve">MP10</t>
  </si>
  <si>
    <t xml:space="preserve">Trabas partidas del puente</t>
  </si>
  <si>
    <t xml:space="preserve">SAE 1045</t>
  </si>
  <si>
    <t xml:space="preserve">Planchuela 30 × 80 × 300 mm</t>
  </si>
  <si>
    <t xml:space="preserve">MP11</t>
  </si>
  <si>
    <t xml:space="preserve">Placa superior de base</t>
  </si>
  <si>
    <t xml:space="preserve">Acero F-24</t>
  </si>
  <si>
    <t xml:space="preserve">25 × 550 × 450 mm</t>
  </si>
  <si>
    <t xml:space="preserve">Rectificar después de soldar</t>
  </si>
  <si>
    <t xml:space="preserve">MP12</t>
  </si>
  <si>
    <t xml:space="preserve">Placa inferior de anclaje de columnas y guías</t>
  </si>
  <si>
    <t xml:space="preserve">20 × 500 × 400 mm</t>
  </si>
  <si>
    <t xml:space="preserve">MP13</t>
  </si>
  <si>
    <t xml:space="preserve">Placa de soportes del cigüeñal</t>
  </si>
  <si>
    <t xml:space="preserve">25 × 400 × 300 mm</t>
  </si>
  <si>
    <t xml:space="preserve">MP14</t>
  </si>
  <si>
    <t xml:space="preserve">Estructura de base</t>
  </si>
  <si>
    <t xml:space="preserve">Tubo estructural 80 × 80 × 3,2</t>
  </si>
  <si>
    <t xml:space="preserve">1 barra de 6 m</t>
  </si>
  <si>
    <t xml:space="preserve">MP15</t>
  </si>
  <si>
    <t xml:space="preserve">Cerramiento de base</t>
  </si>
  <si>
    <t xml:space="preserve">Chapa 2–3 mm</t>
  </si>
  <si>
    <t xml:space="preserve">Según despiece</t>
  </si>
  <si>
    <t xml:space="preserve">MP16</t>
  </si>
  <si>
    <t xml:space="preserve">U universales, manguito del steerer, bloque de eje, trunnion</t>
  </si>
  <si>
    <t xml:space="preserve">Aluminio 7075</t>
  </si>
  <si>
    <t xml:space="preserve">Barra 80 × 80 × 500 mm (lote)</t>
  </si>
  <si>
    <t xml:space="preserve">MP17</t>
  </si>
  <si>
    <t xml:space="preserve">Separadores y pernos de ojo</t>
  </si>
  <si>
    <t xml:space="preserve">Acero para temple</t>
  </si>
  <si>
    <t xml:space="preserve">Ø30 × 500 mm</t>
  </si>
  <si>
    <t xml:space="preserve">MP18</t>
  </si>
  <si>
    <t xml:space="preserve">Volante</t>
  </si>
  <si>
    <t xml:space="preserve">Acero</t>
  </si>
  <si>
    <t xml:space="preserve">Disco Ø250 × 25 mm (≈ 10 kg)</t>
  </si>
  <si>
    <t xml:space="preserve">MP19</t>
  </si>
  <si>
    <t xml:space="preserve">Cuerpo del cartucho de sobrecarga</t>
  </si>
  <si>
    <t xml:space="preserve">Ø70 × 120 mm</t>
  </si>
  <si>
    <t xml:space="preserve">MP20</t>
  </si>
  <si>
    <t xml:space="preserve">Contrapeso, soportes de motor, tensor</t>
  </si>
  <si>
    <t xml:space="preserve">Planchuela y retazos</t>
  </si>
  <si>
    <t xml:space="preserve">MP21</t>
  </si>
  <si>
    <t xml:space="preserve">Guardas fijas</t>
  </si>
  <si>
    <t xml:space="preserve">Chapa perforada 1,5 mm</t>
  </si>
  <si>
    <t xml:space="preserve">1 plancha</t>
  </si>
  <si>
    <t xml:space="preserve">MP22</t>
  </si>
  <si>
    <t xml:space="preserve">Soporte del encoder y brazo de pantalla</t>
  </si>
  <si>
    <t xml:space="preserve">Aluminio</t>
  </si>
  <si>
    <t xml:space="preserve">Perfiles y planchuela</t>
  </si>
  <si>
    <t xml:space="preserve">MP23</t>
  </si>
  <si>
    <t xml:space="preserve">Consumibles de taller</t>
  </si>
  <si>
    <t xml:space="preserve">Electrodos, discos, brocas, insertos, escariadores H7</t>
  </si>
  <si>
    <t xml:space="preserve">Lote</t>
  </si>
  <si>
    <t xml:space="preserve">Escariadores Ø20 H7 y Ø8 H7 si no los tenés</t>
  </si>
  <si>
    <t xml:space="preserve">Pieza</t>
  </si>
  <si>
    <t xml:space="preserve">Máquina necesaria</t>
  </si>
  <si>
    <t xml:space="preserve">¿Con torno y perforadora?</t>
  </si>
  <si>
    <t xml:space="preserve">Recomendación</t>
  </si>
  <si>
    <t xml:space="preserve">Tolerancias clave</t>
  </si>
  <si>
    <t xml:space="preserve">Hecho</t>
  </si>
  <si>
    <t xml:space="preserve">Torno + rectificadora tangencial</t>
  </si>
  <si>
    <t xml:space="preserve">Sí</t>
  </si>
  <si>
    <t xml:space="preserve">Asientos de rodamientos y limitador a h6</t>
  </si>
  <si>
    <t xml:space="preserve">h6 en asientos</t>
  </si>
  <si>
    <t xml:space="preserve">Torno + fresado + rectificadora plana</t>
  </si>
  <si>
    <t xml:space="preserve">Caras rectificadas; 23 agujeros H7 fresados y escariados</t>
  </si>
  <si>
    <t xml:space="preserve">Posición ± 0,02 mm; H7</t>
  </si>
  <si>
    <t xml:space="preserve">Fresado + rectificadora plana</t>
  </si>
  <si>
    <t xml:space="preserve">Sí (temple afuera)</t>
  </si>
  <si>
    <t xml:space="preserve">Fresar la ranura, templar las caras (servicio), rectificarlas paralelas. Alojamientos de guías y vástago en una sola atada</t>
  </si>
  <si>
    <t xml:space="preserve">Caras paralelas &lt; 0,01 mm; alojamientos paralelos 0,02 mm</t>
  </si>
  <si>
    <t xml:space="preserve">Perno de manivela y buje excéntrico</t>
  </si>
  <si>
    <t xml:space="preserve">El excéntrico permite precargar los dos rodillos contra la ranura</t>
  </si>
  <si>
    <t xml:space="preserve">h6; excentricidad ≈ 0,5 mm</t>
  </si>
  <si>
    <t xml:space="preserve">Torno</t>
  </si>
  <si>
    <t xml:space="preserve">Cortar, refrentar, roscar para fijarlas arriba y abajo</t>
  </si>
  <si>
    <t xml:space="preserve">Paralelas entre sí 0,02 mm</t>
  </si>
  <si>
    <t xml:space="preserve">Rosca y centrado en las puntas, como un vástago de cilindro</t>
  </si>
  <si>
    <t xml:space="preserve">Bujes de bronce</t>
  </si>
  <si>
    <t xml:space="preserve">Terminar a la medida real de cada barra</t>
  </si>
  <si>
    <t xml:space="preserve">Juego mínimo sin trabar</t>
  </si>
  <si>
    <t xml:space="preserve">Bolsillos de alivianado; alojamientos de bujes paralelos</t>
  </si>
  <si>
    <t xml:space="preserve">Paralelismo 0,02 mm</t>
  </si>
  <si>
    <t xml:space="preserve">Trabas partidas y palancas</t>
  </si>
  <si>
    <t xml:space="preserve">Torno + fresado</t>
  </si>
  <si>
    <t xml:space="preserve">Placa superior e inferior de base</t>
  </si>
  <si>
    <t xml:space="preserve">MP11, MP12</t>
  </si>
  <si>
    <t xml:space="preserve">Rectificadora plana + fresado / perforadora + escariador</t>
  </si>
  <si>
    <t xml:space="preserve">Agujerear las dos placas juntas para que columnas y guías queden paralelas</t>
  </si>
  <si>
    <t xml:space="preserve">Perpendicularidad de asientos</t>
  </si>
  <si>
    <t xml:space="preserve">Estructura de base soldada</t>
  </si>
  <si>
    <t xml:space="preserve">MP14, MP15</t>
  </si>
  <si>
    <t xml:space="preserve">Soldadora</t>
  </si>
  <si>
    <t xml:space="preserve">Propio o tercerizar (T07)</t>
  </si>
  <si>
    <t xml:space="preserve">Soldar antes de rectificar la placa</t>
  </si>
  <si>
    <t xml:space="preserve">Cartucho de sobrecarga</t>
  </si>
  <si>
    <t xml:space="preserve">Balancear junto con el plato (T05)</t>
  </si>
  <si>
    <t xml:space="preserve">Poleas</t>
  </si>
  <si>
    <t xml:space="preserve">A05, A06</t>
  </si>
  <si>
    <t xml:space="preserve">Se compran hechas; agujero y chavetero a medida</t>
  </si>
  <si>
    <t xml:space="preserve">MP16, MP17</t>
  </si>
  <si>
    <t xml:space="preserve">Pernos de ojo a h6 y templados</t>
  </si>
  <si>
    <t xml:space="preserve">Contrapeso, soportes de motor, tensor, guardas</t>
  </si>
  <si>
    <t xml:space="preserve">MP20, MP21</t>
  </si>
  <si>
    <t xml:space="preserve">Perforadora + sierra + soldadora</t>
  </si>
  <si>
    <t xml:space="preserve">Perforadora</t>
  </si>
  <si>
    <t xml:space="preserve">El encoder tiene que quedar paralelo a las guías</t>
  </si>
  <si>
    <t xml:space="preserve">Criterio</t>
  </si>
  <si>
    <t xml:space="preserve">Objetivo</t>
  </si>
  <si>
    <t xml:space="preserve">Por qué</t>
  </si>
  <si>
    <t xml:space="preserve">Cómo medirlo</t>
  </si>
  <si>
    <t xml:space="preserve">Medido barra 1</t>
  </si>
  <si>
    <t xml:space="preserve">Medido barra 2</t>
  </si>
  <si>
    <t xml:space="preserve">¿Cumple?</t>
  </si>
  <si>
    <t xml:space="preserve">Diámetro</t>
  </si>
  <si>
    <t xml:space="preserve">Medir el real y ajustar los bujes de bronce a esa medida</t>
  </si>
  <si>
    <t xml:space="preserve">Con bujes de bronce el diámetro exacto no importa: el buje se termina a la barra</t>
  </si>
  <si>
    <t xml:space="preserve">Micrómetro en 3 puntos a lo largo y en 2 direcciones a 90°</t>
  </si>
  <si>
    <t xml:space="preserve">Ovalidad</t>
  </si>
  <si>
    <t xml:space="preserve">&lt; 0,01 mm</t>
  </si>
  <si>
    <t xml:space="preserve">Ovalidad = juego que cambia al girar</t>
  </si>
  <si>
    <t xml:space="preserve">Diferencia entre las dos mediciones a 90° en un mismo punto</t>
  </si>
  <si>
    <t xml:space="preserve">Rectitud</t>
  </si>
  <si>
    <t xml:space="preserve">&lt; 0,02 mm en ≈ 300 mm</t>
  </si>
  <si>
    <t xml:space="preserve">El yugo recorre ≈ 200 mm sobre las guías</t>
  </si>
  <si>
    <t xml:space="preserve">Entre puntas en el torno, con reloj comparador</t>
  </si>
  <si>
    <t xml:space="preserve">Paralelismo de las dos guías</t>
  </si>
  <si>
    <t xml:space="preserve">&lt; 0,02 mm</t>
  </si>
  <si>
    <t xml:space="preserve">Si no son paralelas, el yugo se traba</t>
  </si>
  <si>
    <t xml:space="preserve">Reloj comparador desde la placa, montadas</t>
  </si>
  <si>
    <t xml:space="preserve">Estado del cromo</t>
  </si>
  <si>
    <t xml:space="preserve">Sin poros ni rayas</t>
  </si>
  <si>
    <t xml:space="preserve">El bronce trabaja sobre el cromo</t>
  </si>
  <si>
    <t xml:space="preserve">Inspección visual</t>
  </si>
  <si>
    <t xml:space="preserve">Dureza</t>
  </si>
  <si>
    <t xml:space="preserve">Solo si usás bujes de bolas: ≥ 58 HRC</t>
  </si>
  <si>
    <t xml:space="preserve">Con bronce no es crítica</t>
  </si>
  <si>
    <t xml:space="preserve">Lima de prueba o dato del proveedor</t>
  </si>
  <si>
    <t xml:space="preserve">Notas:</t>
  </si>
  <si>
    <t xml:space="preserve">• Esta hoja aplica a las guías del yugo y al vástago (dentro de la base).</t>
  </si>
  <si>
    <t xml:space="preserve">• Las columnas solo sostienen el puente: con que estén derechas a la vista y sin daños en el cromo, alcanza.</t>
  </si>
  <si>
    <t xml:space="preserve">Cómo usar la planilla</t>
  </si>
  <si>
    <t xml:space="preserve">Celdas amarillas</t>
  </si>
  <si>
    <t xml:space="preserve">Son las que completás: proveedor, precio cotizado, estado, mediciones y avance.</t>
  </si>
  <si>
    <t xml:space="preserve">Texto azul</t>
  </si>
  <si>
    <t xml:space="preserve">Valores estimados (cantidad y rangos de costo). Se pueden corregir.</t>
  </si>
  <si>
    <t xml:space="preserve">Texto negro en columnas de subtotal</t>
  </si>
  <si>
    <t xml:space="preserve">Fórmulas: no editar.</t>
  </si>
  <si>
    <t xml:space="preserve">Lista desplegable: A cotizar → Cotizado → Comprado → Recibido (o Descartado).</t>
  </si>
  <si>
    <t xml:space="preserve">1 = antes del CAD · 2 = con el CAD avanzado (plazo largo) · 3 = con los planos cerrados · 4 = durante el mecanizado · 5 = al final</t>
  </si>
  <si>
    <t xml:space="preserve">Hojas</t>
  </si>
  <si>
    <t xml:space="preserve">Resumen · Compras · Materia prima · Mecanizado · Guías · Leyenda</t>
  </si>
  <si>
    <t xml:space="preserve">Ejemplo de fila completada (ficticio)</t>
  </si>
  <si>
    <t xml:space="preserve">Nombre del proveedor</t>
  </si>
  <si>
    <t xml:space="preserve">420</t>
  </si>
  <si>
    <t xml:space="preserve">Plazo de entrega 3 semanas; confirma 3.200 rpm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</si>
</sst>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30"/>
        <bgColor rgb="FF33330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2A3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n">
        <f aca="false">COUNTIF(Compras!$B$2:$B$103,A5)</f>
        <v>14</v>
      </c>
      <c r="C5" s="5" t="n">
        <f aca="false">SUMIFS(Compras!$I$2:$I$103,Compras!$B$2:$B$103,A5)</f>
        <v>619</v>
      </c>
      <c r="D5" s="5" t="n">
        <f aca="false">SUMIFS(Compras!$J$2:$J$103,Compras!$B$2:$B$103,A5)</f>
        <v>1302</v>
      </c>
      <c r="E5" s="5" t="n">
        <f aca="false">SUMIFS(Compras!$M$2:$M$103,Compras!$B$2:$B$103,A5)</f>
        <v>0</v>
      </c>
      <c r="F5" s="4" t="n">
        <f aca="false">COUNTIFS(Compras!$B$2:$B$103,A5,Compras!$N$2:$N$103,"Comprado")+COUNTIFS(Compras!$B$2:$B$103,A5,Compras!$N$2:$N$103,"Recibido")</f>
        <v>0</v>
      </c>
    </row>
    <row r="6" customFormat="false" ht="15" hidden="false" customHeight="false" outlineLevel="0" collapsed="false">
      <c r="A6" s="4" t="s">
        <v>9</v>
      </c>
      <c r="B6" s="4" t="n">
        <f aca="false">COUNTIF(Compras!$B$2:$B$103,A6)</f>
        <v>18</v>
      </c>
      <c r="C6" s="5" t="n">
        <f aca="false">SUMIFS(Compras!$I$2:$I$103,Compras!$B$2:$B$103,A6)</f>
        <v>810</v>
      </c>
      <c r="D6" s="5" t="n">
        <f aca="false">SUMIFS(Compras!$J$2:$J$103,Compras!$B$2:$B$103,A6)</f>
        <v>1690</v>
      </c>
      <c r="E6" s="5" t="n">
        <f aca="false">SUMIFS(Compras!$M$2:$M$103,Compras!$B$2:$B$103,A6)</f>
        <v>0</v>
      </c>
      <c r="F6" s="4" t="n">
        <f aca="false">COUNTIFS(Compras!$B$2:$B$103,A6,Compras!$N$2:$N$103,"Comprado")+COUNTIFS(Compras!$B$2:$B$103,A6,Compras!$N$2:$N$103,"Recibido")</f>
        <v>0</v>
      </c>
    </row>
    <row r="7" customFormat="false" ht="15" hidden="false" customHeight="false" outlineLevel="0" collapsed="false">
      <c r="A7" s="4" t="s">
        <v>10</v>
      </c>
      <c r="B7" s="4" t="n">
        <f aca="false">COUNTIF(Compras!$B$2:$B$103,A7)</f>
        <v>9</v>
      </c>
      <c r="C7" s="5" t="n">
        <f aca="false">SUMIFS(Compras!$I$2:$I$103,Compras!$B$2:$B$103,A7)</f>
        <v>643</v>
      </c>
      <c r="D7" s="5" t="n">
        <f aca="false">SUMIFS(Compras!$J$2:$J$103,Compras!$B$2:$B$103,A7)</f>
        <v>1538</v>
      </c>
      <c r="E7" s="5" t="n">
        <f aca="false">SUMIFS(Compras!$M$2:$M$103,Compras!$B$2:$B$103,A7)</f>
        <v>0</v>
      </c>
      <c r="F7" s="4" t="n">
        <f aca="false">COUNTIFS(Compras!$B$2:$B$103,A7,Compras!$N$2:$N$103,"Comprado")+COUNTIFS(Compras!$B$2:$B$103,A7,Compras!$N$2:$N$103,"Recibido")</f>
        <v>0</v>
      </c>
    </row>
    <row r="8" customFormat="false" ht="15" hidden="false" customHeight="false" outlineLevel="0" collapsed="false">
      <c r="A8" s="4" t="s">
        <v>11</v>
      </c>
      <c r="B8" s="4" t="n">
        <f aca="false">COUNTIF(Compras!$B$2:$B$103,A8)</f>
        <v>27</v>
      </c>
      <c r="C8" s="5" t="n">
        <f aca="false">SUMIFS(Compras!$I$2:$I$103,Compras!$B$2:$B$103,A8)</f>
        <v>531.4</v>
      </c>
      <c r="D8" s="5" t="n">
        <f aca="false">SUMIFS(Compras!$J$2:$J$103,Compras!$B$2:$B$103,A8)</f>
        <v>1150</v>
      </c>
      <c r="E8" s="5" t="n">
        <f aca="false">SUMIFS(Compras!$M$2:$M$103,Compras!$B$2:$B$103,A8)</f>
        <v>0</v>
      </c>
      <c r="F8" s="4" t="n">
        <f aca="false">COUNTIFS(Compras!$B$2:$B$103,A8,Compras!$N$2:$N$103,"Comprado")+COUNTIFS(Compras!$B$2:$B$103,A8,Compras!$N$2:$N$103,"Recibido")</f>
        <v>0</v>
      </c>
    </row>
    <row r="9" customFormat="false" ht="15" hidden="false" customHeight="false" outlineLevel="0" collapsed="false">
      <c r="A9" s="4" t="s">
        <v>12</v>
      </c>
      <c r="B9" s="4" t="n">
        <f aca="false">COUNTIF(Compras!$B$2:$B$103,A9)</f>
        <v>13</v>
      </c>
      <c r="C9" s="5" t="n">
        <f aca="false">SUMIFS(Compras!$I$2:$I$103,Compras!$B$2:$B$103,A9)</f>
        <v>515</v>
      </c>
      <c r="D9" s="5" t="n">
        <f aca="false">SUMIFS(Compras!$J$2:$J$103,Compras!$B$2:$B$103,A9)</f>
        <v>1110</v>
      </c>
      <c r="E9" s="5" t="n">
        <f aca="false">SUMIFS(Compras!$M$2:$M$103,Compras!$B$2:$B$103,A9)</f>
        <v>0</v>
      </c>
      <c r="F9" s="4" t="n">
        <f aca="false">COUNTIFS(Compras!$B$2:$B$103,A9,Compras!$N$2:$N$103,"Comprado")+COUNTIFS(Compras!$B$2:$B$103,A9,Compras!$N$2:$N$103,"Recibido")</f>
        <v>0</v>
      </c>
    </row>
    <row r="10" customFormat="false" ht="15" hidden="false" customHeight="false" outlineLevel="0" collapsed="false">
      <c r="A10" s="4" t="s">
        <v>13</v>
      </c>
      <c r="B10" s="4" t="n">
        <f aca="false">COUNTIF(Compras!$B$2:$B$103,A10)</f>
        <v>3</v>
      </c>
      <c r="C10" s="5" t="n">
        <f aca="false">SUMIFS(Compras!$I$2:$I$103,Compras!$B$2:$B$103,A10)</f>
        <v>40</v>
      </c>
      <c r="D10" s="5" t="n">
        <f aca="false">SUMIFS(Compras!$J$2:$J$103,Compras!$B$2:$B$103,A10)</f>
        <v>80</v>
      </c>
      <c r="E10" s="5" t="n">
        <f aca="false">SUMIFS(Compras!$M$2:$M$103,Compras!$B$2:$B$103,A10)</f>
        <v>0</v>
      </c>
      <c r="F10" s="4" t="n">
        <f aca="false">COUNTIFS(Compras!$B$2:$B$103,A10,Compras!$N$2:$N$103,"Comprado")+COUNTIFS(Compras!$B$2:$B$103,A10,Compras!$N$2:$N$103,"Recibido")</f>
        <v>0</v>
      </c>
    </row>
    <row r="11" customFormat="false" ht="15" hidden="false" customHeight="false" outlineLevel="0" collapsed="false">
      <c r="A11" s="4" t="s">
        <v>14</v>
      </c>
      <c r="B11" s="4" t="n">
        <f aca="false">COUNTIF(Compras!$B$2:$B$103,A11)</f>
        <v>10</v>
      </c>
      <c r="C11" s="5" t="n">
        <f aca="false">SUMIFS(Compras!$I$2:$I$103,Compras!$B$2:$B$103,A11)</f>
        <v>190</v>
      </c>
      <c r="D11" s="5" t="n">
        <f aca="false">SUMIFS(Compras!$J$2:$J$103,Compras!$B$2:$B$103,A11)</f>
        <v>730</v>
      </c>
      <c r="E11" s="5" t="n">
        <f aca="false">SUMIFS(Compras!$M$2:$M$103,Compras!$B$2:$B$103,A11)</f>
        <v>0</v>
      </c>
      <c r="F11" s="4" t="n">
        <f aca="false">COUNTIFS(Compras!$B$2:$B$103,A11,Compras!$N$2:$N$103,"Comprado")+COUNTIFS(Compras!$B$2:$B$103,A11,Compras!$N$2:$N$103,"Recibido")</f>
        <v>0</v>
      </c>
    </row>
    <row r="12" customFormat="false" ht="15" hidden="false" customHeight="false" outlineLevel="0" collapsed="false">
      <c r="A12" s="4" t="s">
        <v>15</v>
      </c>
      <c r="B12" s="4" t="n">
        <f aca="false">COUNTIF(Compras!$B$2:$B$103,A12)</f>
        <v>8</v>
      </c>
      <c r="C12" s="5" t="n">
        <f aca="false">SUMIFS(Compras!$I$2:$I$103,Compras!$B$2:$B$103,A12)</f>
        <v>210</v>
      </c>
      <c r="D12" s="5" t="n">
        <f aca="false">SUMIFS(Compras!$J$2:$J$103,Compras!$B$2:$B$103,A12)</f>
        <v>1010</v>
      </c>
      <c r="E12" s="5" t="n">
        <f aca="false">SUMIFS(Compras!$M$2:$M$103,Compras!$B$2:$B$103,A12)</f>
        <v>0</v>
      </c>
      <c r="F12" s="4" t="n">
        <f aca="false">COUNTIFS(Compras!$B$2:$B$103,A12,Compras!$N$2:$N$103,"Comprado")+COUNTIFS(Compras!$B$2:$B$103,A12,Compras!$N$2:$N$103,"Recibido")</f>
        <v>0</v>
      </c>
    </row>
    <row r="13" customFormat="false" ht="15" hidden="false" customHeight="false" outlineLevel="0" collapsed="false">
      <c r="A13" s="4" t="s">
        <v>16</v>
      </c>
      <c r="B13" s="6" t="n">
        <f aca="false">COUNTA('Materia prima'!$A$2:$A$24)</f>
        <v>23</v>
      </c>
      <c r="C13" s="7" t="n">
        <f aca="false">'Materia prima'!H25</f>
        <v>640</v>
      </c>
      <c r="D13" s="7" t="n">
        <f aca="false">'Materia prima'!I25</f>
        <v>1340</v>
      </c>
      <c r="E13" s="7" t="n">
        <f aca="false">'Materia prima'!K25</f>
        <v>0</v>
      </c>
      <c r="F13" s="6" t="n">
        <f aca="false">COUNTIF('Materia prima'!$L$2:$L$24,"Comprado")+COUNTIF('Materia prima'!$L$2:$L$24,"Recibido")</f>
        <v>0</v>
      </c>
    </row>
    <row r="14" customFormat="false" ht="15" hidden="false" customHeight="false" outlineLevel="0" collapsed="false">
      <c r="A14" s="8" t="s">
        <v>17</v>
      </c>
      <c r="B14" s="8" t="n">
        <f aca="false">SUM(B5:B13)</f>
        <v>125</v>
      </c>
      <c r="C14" s="9" t="n">
        <f aca="false">SUM(C5:C13)</f>
        <v>4198.4</v>
      </c>
      <c r="D14" s="9" t="n">
        <f aca="false">SUM(D5:D13)</f>
        <v>9950</v>
      </c>
      <c r="E14" s="9" t="n">
        <f aca="false">SUM(E5:E13)</f>
        <v>0</v>
      </c>
      <c r="F14" s="8" t="n">
        <f aca="false">SUM(F5:F13)</f>
        <v>0</v>
      </c>
    </row>
    <row r="15" customFormat="false" ht="15" hidden="false" customHeight="false" outlineLevel="0" collapsed="false">
      <c r="A15" s="8" t="s">
        <v>18</v>
      </c>
      <c r="B15" s="8"/>
      <c r="C15" s="9" t="n">
        <f aca="false">C14-C12</f>
        <v>3988.4</v>
      </c>
      <c r="D15" s="9" t="n">
        <f aca="false">D14-D12</f>
        <v>8940</v>
      </c>
      <c r="E15" s="9" t="n">
        <f aca="false">E14-E12</f>
        <v>0</v>
      </c>
      <c r="F15" s="8"/>
    </row>
    <row r="17" customFormat="false" ht="15" hidden="false" customHeight="false" outlineLevel="0" collapsed="false">
      <c r="A17" s="10" t="s">
        <v>19</v>
      </c>
    </row>
    <row r="18" customFormat="false" ht="15" hidden="false" customHeight="false" outlineLevel="0" collapsed="false">
      <c r="A18" s="11" t="s">
        <v>20</v>
      </c>
      <c r="B18" s="11" t="n">
        <f aca="false">COUNTIF(Compras!$N$2:$N$103,A18)</f>
        <v>102</v>
      </c>
    </row>
    <row r="19" customFormat="false" ht="15" hidden="false" customHeight="false" outlineLevel="0" collapsed="false">
      <c r="A19" s="11" t="s">
        <v>21</v>
      </c>
      <c r="B19" s="11" t="n">
        <f aca="false">COUNTIF(Compras!$N$2:$N$103,A19)</f>
        <v>0</v>
      </c>
    </row>
    <row r="20" customFormat="false" ht="15" hidden="false" customHeight="false" outlineLevel="0" collapsed="false">
      <c r="A20" s="11" t="s">
        <v>22</v>
      </c>
      <c r="B20" s="11" t="n">
        <f aca="false">COUNTIF(Compras!$N$2:$N$103,A20)</f>
        <v>0</v>
      </c>
    </row>
    <row r="21" customFormat="false" ht="15" hidden="false" customHeight="false" outlineLevel="0" collapsed="false">
      <c r="A21" s="11" t="s">
        <v>23</v>
      </c>
      <c r="B21" s="11" t="n">
        <f aca="false">COUNTIF(Compras!$N$2:$N$103,A21)</f>
        <v>0</v>
      </c>
    </row>
    <row r="22" customFormat="false" ht="15" hidden="false" customHeight="false" outlineLevel="0" collapsed="false">
      <c r="A22" s="11" t="s">
        <v>24</v>
      </c>
      <c r="B22" s="11" t="n">
        <f aca="false">COUNTIF(Compras!$N$2:$N$103,A22)</f>
        <v>0</v>
      </c>
    </row>
    <row r="24" customFormat="false" ht="15" hidden="false" customHeight="true" outlineLevel="0" collapsed="false">
      <c r="A24" s="12" t="s">
        <v>25</v>
      </c>
      <c r="B24" s="12"/>
      <c r="C24" s="12"/>
      <c r="D24" s="12"/>
      <c r="E24" s="12"/>
      <c r="F24" s="12"/>
    </row>
    <row r="25" customFormat="false" ht="15" hidden="false" customHeight="true" outlineLevel="0" collapsed="false">
      <c r="A25" s="13" t="s">
        <v>26</v>
      </c>
      <c r="B25" s="13"/>
      <c r="C25" s="13"/>
      <c r="D25" s="13"/>
      <c r="E25" s="13"/>
      <c r="F25" s="13"/>
    </row>
    <row r="26" customFormat="false" ht="15" hidden="false" customHeight="true" outlineLevel="0" collapsed="false">
      <c r="A26" s="13" t="s">
        <v>27</v>
      </c>
      <c r="B26" s="13"/>
      <c r="C26" s="13"/>
      <c r="D26" s="13"/>
      <c r="E26" s="13"/>
      <c r="F26" s="13"/>
    </row>
    <row r="27" customFormat="false" ht="15" hidden="false" customHeight="true" outlineLevel="0" collapsed="false">
      <c r="A27" s="13" t="s">
        <v>28</v>
      </c>
      <c r="B27" s="13"/>
      <c r="C27" s="13"/>
      <c r="D27" s="13"/>
      <c r="E27" s="13"/>
      <c r="F27" s="13"/>
    </row>
    <row r="28" customFormat="false" ht="15" hidden="false" customHeight="true" outlineLevel="0" collapsed="false">
      <c r="A28" s="13" t="s">
        <v>29</v>
      </c>
      <c r="B28" s="13"/>
      <c r="C28" s="13"/>
      <c r="D28" s="13"/>
      <c r="E28" s="13"/>
      <c r="F28" s="13"/>
    </row>
    <row r="29" customFormat="false" ht="15" hidden="false" customHeight="true" outlineLevel="0" collapsed="false">
      <c r="A29" s="13" t="s">
        <v>30</v>
      </c>
      <c r="B29" s="13"/>
      <c r="C29" s="13"/>
      <c r="D29" s="13"/>
      <c r="E29" s="13"/>
      <c r="F29" s="13"/>
    </row>
    <row r="30" customFormat="false" ht="15" hidden="false" customHeight="true" outlineLevel="0" collapsed="false">
      <c r="A30" s="13" t="s">
        <v>31</v>
      </c>
      <c r="B30" s="13"/>
      <c r="C30" s="13"/>
      <c r="D30" s="13"/>
      <c r="E30" s="13"/>
      <c r="F30" s="13"/>
    </row>
  </sheetData>
  <mergeCells count="7">
    <mergeCell ref="A24:F24"/>
    <mergeCell ref="A25:F25"/>
    <mergeCell ref="A26:F26"/>
    <mergeCell ref="A27:F27"/>
    <mergeCell ref="A28:F28"/>
    <mergeCell ref="A29:F29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48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10" min="7" style="0" width="12"/>
    <col collapsed="false" customWidth="true" hidden="false" outlineLevel="0" max="11" min="11" style="0" width="20"/>
    <col collapsed="false" customWidth="true" hidden="false" outlineLevel="0" max="13" min="12" style="0" width="13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48"/>
  </cols>
  <sheetData>
    <row r="1" customFormat="false" ht="30" hidden="false" customHeight="true" outlineLevel="0" collapsed="false">
      <c r="A1" s="14" t="s">
        <v>32</v>
      </c>
      <c r="B1" s="14" t="s">
        <v>2</v>
      </c>
      <c r="C1" s="14" t="s">
        <v>33</v>
      </c>
      <c r="D1" s="14" t="s">
        <v>34</v>
      </c>
      <c r="E1" s="14" t="s">
        <v>35</v>
      </c>
      <c r="F1" s="14" t="s">
        <v>36</v>
      </c>
      <c r="G1" s="14" t="s">
        <v>37</v>
      </c>
      <c r="H1" s="14" t="s">
        <v>38</v>
      </c>
      <c r="I1" s="14" t="s">
        <v>4</v>
      </c>
      <c r="J1" s="14" t="s">
        <v>5</v>
      </c>
      <c r="K1" s="14" t="s">
        <v>39</v>
      </c>
      <c r="L1" s="14" t="s">
        <v>40</v>
      </c>
      <c r="M1" s="14" t="s">
        <v>41</v>
      </c>
      <c r="N1" s="14" t="s">
        <v>42</v>
      </c>
      <c r="O1" s="14" t="s">
        <v>43</v>
      </c>
      <c r="P1" s="14" t="s">
        <v>44</v>
      </c>
    </row>
    <row r="2" customFormat="false" ht="23.85" hidden="false" customHeight="false" outlineLevel="0" collapsed="false">
      <c r="A2" s="15" t="s">
        <v>45</v>
      </c>
      <c r="B2" s="15" t="s">
        <v>8</v>
      </c>
      <c r="C2" s="15" t="s">
        <v>46</v>
      </c>
      <c r="D2" s="15" t="s">
        <v>47</v>
      </c>
      <c r="E2" s="16" t="n">
        <v>2</v>
      </c>
      <c r="F2" s="15" t="s">
        <v>48</v>
      </c>
      <c r="G2" s="17" t="n">
        <v>25</v>
      </c>
      <c r="H2" s="17" t="n">
        <v>60</v>
      </c>
      <c r="I2" s="18" t="n">
        <f aca="false">E2*G2</f>
        <v>50</v>
      </c>
      <c r="J2" s="18" t="n">
        <f aca="false">E2*H2</f>
        <v>120</v>
      </c>
      <c r="K2" s="19"/>
      <c r="L2" s="20"/>
      <c r="M2" s="18" t="str">
        <f aca="false">IF(L2="","",E2*L2)</f>
        <v/>
      </c>
      <c r="N2" s="19" t="s">
        <v>20</v>
      </c>
      <c r="O2" s="15" t="n">
        <v>2</v>
      </c>
      <c r="P2" s="15" t="s">
        <v>49</v>
      </c>
    </row>
    <row r="3" customFormat="false" ht="15" hidden="false" customHeight="false" outlineLevel="0" collapsed="false">
      <c r="A3" s="15" t="s">
        <v>50</v>
      </c>
      <c r="B3" s="15" t="s">
        <v>8</v>
      </c>
      <c r="C3" s="15" t="s">
        <v>51</v>
      </c>
      <c r="D3" s="15" t="s">
        <v>52</v>
      </c>
      <c r="E3" s="16" t="n">
        <v>2</v>
      </c>
      <c r="F3" s="15" t="s">
        <v>48</v>
      </c>
      <c r="G3" s="17" t="n">
        <v>60</v>
      </c>
      <c r="H3" s="17" t="n">
        <v>125</v>
      </c>
      <c r="I3" s="18" t="n">
        <f aca="false">E3*G3</f>
        <v>120</v>
      </c>
      <c r="J3" s="18" t="n">
        <f aca="false">E3*H3</f>
        <v>250</v>
      </c>
      <c r="K3" s="19"/>
      <c r="L3" s="20"/>
      <c r="M3" s="18" t="str">
        <f aca="false">IF(L3="","",E3*L3)</f>
        <v/>
      </c>
      <c r="N3" s="19" t="s">
        <v>20</v>
      </c>
      <c r="O3" s="15" t="n">
        <v>3</v>
      </c>
      <c r="P3" s="15"/>
    </row>
    <row r="4" customFormat="false" ht="23.85" hidden="false" customHeight="false" outlineLevel="0" collapsed="false">
      <c r="A4" s="15" t="s">
        <v>53</v>
      </c>
      <c r="B4" s="15" t="s">
        <v>8</v>
      </c>
      <c r="C4" s="15" t="s">
        <v>54</v>
      </c>
      <c r="D4" s="15" t="s">
        <v>55</v>
      </c>
      <c r="E4" s="16" t="n">
        <v>1</v>
      </c>
      <c r="F4" s="15" t="s">
        <v>56</v>
      </c>
      <c r="G4" s="17" t="n">
        <v>15</v>
      </c>
      <c r="H4" s="17" t="n">
        <v>40</v>
      </c>
      <c r="I4" s="18" t="n">
        <f aca="false">E4*G4</f>
        <v>15</v>
      </c>
      <c r="J4" s="18" t="n">
        <f aca="false">E4*H4</f>
        <v>40</v>
      </c>
      <c r="K4" s="19"/>
      <c r="L4" s="20"/>
      <c r="M4" s="18" t="str">
        <f aca="false">IF(L4="","",E4*L4)</f>
        <v/>
      </c>
      <c r="N4" s="19" t="s">
        <v>20</v>
      </c>
      <c r="O4" s="15" t="n">
        <v>3</v>
      </c>
      <c r="P4" s="15" t="s">
        <v>57</v>
      </c>
    </row>
    <row r="5" customFormat="false" ht="15" hidden="false" customHeight="false" outlineLevel="0" collapsed="false">
      <c r="A5" s="15" t="s">
        <v>58</v>
      </c>
      <c r="B5" s="15" t="s">
        <v>8</v>
      </c>
      <c r="C5" s="15" t="s">
        <v>59</v>
      </c>
      <c r="D5" s="15" t="s">
        <v>60</v>
      </c>
      <c r="E5" s="16" t="n">
        <v>1</v>
      </c>
      <c r="F5" s="15" t="s">
        <v>61</v>
      </c>
      <c r="G5" s="17" t="n">
        <v>20</v>
      </c>
      <c r="H5" s="17" t="n">
        <v>50</v>
      </c>
      <c r="I5" s="18" t="n">
        <f aca="false">E5*G5</f>
        <v>20</v>
      </c>
      <c r="J5" s="18" t="n">
        <f aca="false">E5*H5</f>
        <v>50</v>
      </c>
      <c r="K5" s="19"/>
      <c r="L5" s="20"/>
      <c r="M5" s="18" t="str">
        <f aca="false">IF(L5="","",E5*L5)</f>
        <v/>
      </c>
      <c r="N5" s="19" t="s">
        <v>20</v>
      </c>
      <c r="O5" s="15" t="n">
        <v>3</v>
      </c>
      <c r="P5" s="15"/>
    </row>
    <row r="6" customFormat="false" ht="15" hidden="false" customHeight="false" outlineLevel="0" collapsed="false">
      <c r="A6" s="15" t="s">
        <v>62</v>
      </c>
      <c r="B6" s="15" t="s">
        <v>8</v>
      </c>
      <c r="C6" s="15" t="s">
        <v>63</v>
      </c>
      <c r="D6" s="15" t="s">
        <v>64</v>
      </c>
      <c r="E6" s="16" t="n">
        <v>1</v>
      </c>
      <c r="F6" s="15" t="s">
        <v>48</v>
      </c>
      <c r="G6" s="17" t="n">
        <v>200</v>
      </c>
      <c r="H6" s="17" t="n">
        <v>350</v>
      </c>
      <c r="I6" s="18" t="n">
        <f aca="false">E6*G6</f>
        <v>200</v>
      </c>
      <c r="J6" s="18" t="n">
        <f aca="false">E6*H6</f>
        <v>350</v>
      </c>
      <c r="K6" s="19"/>
      <c r="L6" s="20"/>
      <c r="M6" s="18" t="str">
        <f aca="false">IF(L6="","",E6*L6)</f>
        <v/>
      </c>
      <c r="N6" s="19" t="s">
        <v>20</v>
      </c>
      <c r="O6" s="15" t="n">
        <v>3</v>
      </c>
      <c r="P6" s="15"/>
    </row>
    <row r="7" customFormat="false" ht="23.85" hidden="false" customHeight="false" outlineLevel="0" collapsed="false">
      <c r="A7" s="15" t="s">
        <v>65</v>
      </c>
      <c r="B7" s="15" t="s">
        <v>8</v>
      </c>
      <c r="C7" s="15" t="s">
        <v>66</v>
      </c>
      <c r="D7" s="15" t="s">
        <v>67</v>
      </c>
      <c r="E7" s="16" t="n">
        <v>1</v>
      </c>
      <c r="F7" s="15" t="s">
        <v>56</v>
      </c>
      <c r="G7" s="17" t="n">
        <v>30</v>
      </c>
      <c r="H7" s="17" t="n">
        <v>80</v>
      </c>
      <c r="I7" s="18" t="n">
        <f aca="false">E7*G7</f>
        <v>30</v>
      </c>
      <c r="J7" s="18" t="n">
        <f aca="false">E7*H7</f>
        <v>80</v>
      </c>
      <c r="K7" s="19"/>
      <c r="L7" s="20"/>
      <c r="M7" s="18" t="str">
        <f aca="false">IF(L7="","",E7*L7)</f>
        <v/>
      </c>
      <c r="N7" s="19" t="s">
        <v>20</v>
      </c>
      <c r="O7" s="15" t="n">
        <v>3</v>
      </c>
      <c r="P7" s="15" t="s">
        <v>68</v>
      </c>
    </row>
    <row r="8" customFormat="false" ht="23.85" hidden="false" customHeight="false" outlineLevel="0" collapsed="false">
      <c r="A8" s="15" t="s">
        <v>69</v>
      </c>
      <c r="B8" s="15" t="s">
        <v>8</v>
      </c>
      <c r="C8" s="15" t="s">
        <v>70</v>
      </c>
      <c r="D8" s="15" t="s">
        <v>71</v>
      </c>
      <c r="E8" s="16" t="n">
        <v>2</v>
      </c>
      <c r="F8" s="15" t="s">
        <v>48</v>
      </c>
      <c r="G8" s="17" t="n">
        <v>10</v>
      </c>
      <c r="H8" s="17" t="n">
        <v>25</v>
      </c>
      <c r="I8" s="18" t="n">
        <f aca="false">E8*G8</f>
        <v>20</v>
      </c>
      <c r="J8" s="18" t="n">
        <f aca="false">E8*H8</f>
        <v>50</v>
      </c>
      <c r="K8" s="19"/>
      <c r="L8" s="20"/>
      <c r="M8" s="18" t="str">
        <f aca="false">IF(L8="","",E8*L8)</f>
        <v/>
      </c>
      <c r="N8" s="19" t="s">
        <v>20</v>
      </c>
      <c r="O8" s="15" t="n">
        <v>3</v>
      </c>
      <c r="P8" s="15" t="s">
        <v>72</v>
      </c>
    </row>
    <row r="9" customFormat="false" ht="15" hidden="false" customHeight="false" outlineLevel="0" collapsed="false">
      <c r="A9" s="15" t="s">
        <v>73</v>
      </c>
      <c r="B9" s="15" t="s">
        <v>8</v>
      </c>
      <c r="C9" s="15" t="s">
        <v>74</v>
      </c>
      <c r="D9" s="15" t="s">
        <v>75</v>
      </c>
      <c r="E9" s="16" t="n">
        <v>2</v>
      </c>
      <c r="F9" s="15" t="s">
        <v>48</v>
      </c>
      <c r="G9" s="17" t="n">
        <v>10</v>
      </c>
      <c r="H9" s="17" t="n">
        <v>25</v>
      </c>
      <c r="I9" s="18" t="n">
        <f aca="false">E9*G9</f>
        <v>20</v>
      </c>
      <c r="J9" s="18" t="n">
        <f aca="false">E9*H9</f>
        <v>50</v>
      </c>
      <c r="K9" s="19"/>
      <c r="L9" s="20"/>
      <c r="M9" s="18" t="str">
        <f aca="false">IF(L9="","",E9*L9)</f>
        <v/>
      </c>
      <c r="N9" s="19" t="s">
        <v>20</v>
      </c>
      <c r="O9" s="15" t="n">
        <v>3</v>
      </c>
      <c r="P9" s="15" t="s">
        <v>76</v>
      </c>
    </row>
    <row r="10" customFormat="false" ht="15" hidden="false" customHeight="false" outlineLevel="0" collapsed="false">
      <c r="A10" s="15" t="s">
        <v>77</v>
      </c>
      <c r="B10" s="15" t="s">
        <v>8</v>
      </c>
      <c r="C10" s="15" t="s">
        <v>78</v>
      </c>
      <c r="D10" s="15" t="s">
        <v>79</v>
      </c>
      <c r="E10" s="16" t="n">
        <v>4</v>
      </c>
      <c r="F10" s="15" t="s">
        <v>48</v>
      </c>
      <c r="G10" s="17" t="n">
        <v>3</v>
      </c>
      <c r="H10" s="17" t="n">
        <v>8</v>
      </c>
      <c r="I10" s="18" t="n">
        <f aca="false">E10*G10</f>
        <v>12</v>
      </c>
      <c r="J10" s="18" t="n">
        <f aca="false">E10*H10</f>
        <v>32</v>
      </c>
      <c r="K10" s="19"/>
      <c r="L10" s="20"/>
      <c r="M10" s="18" t="str">
        <f aca="false">IF(L10="","",E10*L10)</f>
        <v/>
      </c>
      <c r="N10" s="19" t="s">
        <v>20</v>
      </c>
      <c r="O10" s="15" t="n">
        <v>4</v>
      </c>
      <c r="P10" s="15"/>
    </row>
    <row r="11" customFormat="false" ht="15" hidden="false" customHeight="false" outlineLevel="0" collapsed="false">
      <c r="A11" s="15" t="s">
        <v>80</v>
      </c>
      <c r="B11" s="15" t="s">
        <v>8</v>
      </c>
      <c r="C11" s="15" t="s">
        <v>81</v>
      </c>
      <c r="D11" s="15" t="s">
        <v>82</v>
      </c>
      <c r="E11" s="16" t="n">
        <v>1</v>
      </c>
      <c r="F11" s="15" t="s">
        <v>48</v>
      </c>
      <c r="G11" s="17" t="n">
        <v>10</v>
      </c>
      <c r="H11" s="17" t="n">
        <v>25</v>
      </c>
      <c r="I11" s="18" t="n">
        <f aca="false">E11*G11</f>
        <v>10</v>
      </c>
      <c r="J11" s="18" t="n">
        <f aca="false">E11*H11</f>
        <v>25</v>
      </c>
      <c r="K11" s="19"/>
      <c r="L11" s="20"/>
      <c r="M11" s="18" t="str">
        <f aca="false">IF(L11="","",E11*L11)</f>
        <v/>
      </c>
      <c r="N11" s="19" t="s">
        <v>20</v>
      </c>
      <c r="O11" s="15" t="n">
        <v>3</v>
      </c>
      <c r="P11" s="15"/>
    </row>
    <row r="12" customFormat="false" ht="15" hidden="false" customHeight="false" outlineLevel="0" collapsed="false">
      <c r="A12" s="15" t="s">
        <v>83</v>
      </c>
      <c r="B12" s="15" t="s">
        <v>8</v>
      </c>
      <c r="C12" s="15" t="s">
        <v>84</v>
      </c>
      <c r="D12" s="15" t="s">
        <v>85</v>
      </c>
      <c r="E12" s="16" t="n">
        <v>4</v>
      </c>
      <c r="F12" s="15" t="s">
        <v>48</v>
      </c>
      <c r="G12" s="17" t="n">
        <v>8</v>
      </c>
      <c r="H12" s="17" t="n">
        <v>15</v>
      </c>
      <c r="I12" s="18" t="n">
        <f aca="false">E12*G12</f>
        <v>32</v>
      </c>
      <c r="J12" s="18" t="n">
        <f aca="false">E12*H12</f>
        <v>60</v>
      </c>
      <c r="K12" s="19"/>
      <c r="L12" s="20"/>
      <c r="M12" s="18" t="str">
        <f aca="false">IF(L12="","",E12*L12)</f>
        <v/>
      </c>
      <c r="N12" s="19" t="s">
        <v>20</v>
      </c>
      <c r="O12" s="15" t="n">
        <v>4</v>
      </c>
      <c r="P12" s="15"/>
    </row>
    <row r="13" customFormat="false" ht="15" hidden="false" customHeight="false" outlineLevel="0" collapsed="false">
      <c r="A13" s="15" t="s">
        <v>86</v>
      </c>
      <c r="B13" s="15" t="s">
        <v>8</v>
      </c>
      <c r="C13" s="15" t="s">
        <v>87</v>
      </c>
      <c r="D13" s="15" t="s">
        <v>88</v>
      </c>
      <c r="E13" s="16" t="n">
        <v>1</v>
      </c>
      <c r="F13" s="15" t="s">
        <v>61</v>
      </c>
      <c r="G13" s="17" t="n">
        <v>60</v>
      </c>
      <c r="H13" s="17" t="n">
        <v>120</v>
      </c>
      <c r="I13" s="18" t="n">
        <f aca="false">E13*G13</f>
        <v>60</v>
      </c>
      <c r="J13" s="18" t="n">
        <f aca="false">E13*H13</f>
        <v>120</v>
      </c>
      <c r="K13" s="19"/>
      <c r="L13" s="20"/>
      <c r="M13" s="18" t="str">
        <f aca="false">IF(L13="","",E13*L13)</f>
        <v/>
      </c>
      <c r="N13" s="19" t="s">
        <v>20</v>
      </c>
      <c r="O13" s="15" t="n">
        <v>3</v>
      </c>
      <c r="P13" s="15"/>
    </row>
    <row r="14" customFormat="false" ht="23.85" hidden="false" customHeight="false" outlineLevel="0" collapsed="false">
      <c r="A14" s="15" t="s">
        <v>89</v>
      </c>
      <c r="B14" s="15" t="s">
        <v>8</v>
      </c>
      <c r="C14" s="15" t="s">
        <v>90</v>
      </c>
      <c r="D14" s="15" t="s">
        <v>91</v>
      </c>
      <c r="E14" s="16" t="n">
        <v>1</v>
      </c>
      <c r="F14" s="15" t="s">
        <v>61</v>
      </c>
      <c r="G14" s="17" t="n">
        <v>20</v>
      </c>
      <c r="H14" s="17" t="n">
        <v>50</v>
      </c>
      <c r="I14" s="18" t="n">
        <f aca="false">E14*G14</f>
        <v>20</v>
      </c>
      <c r="J14" s="18" t="n">
        <f aca="false">E14*H14</f>
        <v>50</v>
      </c>
      <c r="K14" s="19"/>
      <c r="L14" s="20"/>
      <c r="M14" s="18" t="str">
        <f aca="false">IF(L14="","",E14*L14)</f>
        <v/>
      </c>
      <c r="N14" s="19" t="s">
        <v>20</v>
      </c>
      <c r="O14" s="15" t="n">
        <v>3</v>
      </c>
      <c r="P14" s="15"/>
    </row>
    <row r="15" customFormat="false" ht="15" hidden="false" customHeight="false" outlineLevel="0" collapsed="false">
      <c r="A15" s="15" t="s">
        <v>92</v>
      </c>
      <c r="B15" s="15" t="s">
        <v>8</v>
      </c>
      <c r="C15" s="15" t="s">
        <v>93</v>
      </c>
      <c r="D15" s="15" t="s">
        <v>94</v>
      </c>
      <c r="E15" s="16" t="n">
        <v>1</v>
      </c>
      <c r="F15" s="15" t="s">
        <v>61</v>
      </c>
      <c r="G15" s="17" t="n">
        <v>10</v>
      </c>
      <c r="H15" s="17" t="n">
        <v>25</v>
      </c>
      <c r="I15" s="18" t="n">
        <f aca="false">E15*G15</f>
        <v>10</v>
      </c>
      <c r="J15" s="18" t="n">
        <f aca="false">E15*H15</f>
        <v>25</v>
      </c>
      <c r="K15" s="19"/>
      <c r="L15" s="20"/>
      <c r="M15" s="18" t="str">
        <f aca="false">IF(L15="","",E15*L15)</f>
        <v/>
      </c>
      <c r="N15" s="19" t="s">
        <v>20</v>
      </c>
      <c r="O15" s="15" t="n">
        <v>5</v>
      </c>
      <c r="P15" s="15"/>
    </row>
    <row r="16" customFormat="false" ht="23.85" hidden="false" customHeight="false" outlineLevel="0" collapsed="false">
      <c r="A16" s="15" t="s">
        <v>95</v>
      </c>
      <c r="B16" s="15" t="s">
        <v>9</v>
      </c>
      <c r="C16" s="15" t="s">
        <v>96</v>
      </c>
      <c r="D16" s="15" t="s">
        <v>97</v>
      </c>
      <c r="E16" s="16" t="n">
        <v>1</v>
      </c>
      <c r="F16" s="15" t="s">
        <v>48</v>
      </c>
      <c r="G16" s="17" t="n">
        <v>180</v>
      </c>
      <c r="H16" s="17" t="n">
        <v>320</v>
      </c>
      <c r="I16" s="18" t="n">
        <f aca="false">E16*G16</f>
        <v>180</v>
      </c>
      <c r="J16" s="18" t="n">
        <f aca="false">E16*H16</f>
        <v>320</v>
      </c>
      <c r="K16" s="19"/>
      <c r="L16" s="20"/>
      <c r="M16" s="18" t="str">
        <f aca="false">IF(L16="","",E16*L16)</f>
        <v/>
      </c>
      <c r="N16" s="19" t="s">
        <v>20</v>
      </c>
      <c r="O16" s="15" t="n">
        <v>2</v>
      </c>
      <c r="P16" s="15" t="s">
        <v>98</v>
      </c>
    </row>
    <row r="17" customFormat="false" ht="35.05" hidden="false" customHeight="false" outlineLevel="0" collapsed="false">
      <c r="A17" s="15" t="s">
        <v>99</v>
      </c>
      <c r="B17" s="15" t="s">
        <v>9</v>
      </c>
      <c r="C17" s="15" t="s">
        <v>100</v>
      </c>
      <c r="D17" s="15" t="s">
        <v>101</v>
      </c>
      <c r="E17" s="16" t="n">
        <v>1</v>
      </c>
      <c r="F17" s="15" t="s">
        <v>48</v>
      </c>
      <c r="G17" s="17" t="n">
        <v>150</v>
      </c>
      <c r="H17" s="17" t="n">
        <v>350</v>
      </c>
      <c r="I17" s="18" t="n">
        <f aca="false">E17*G17</f>
        <v>150</v>
      </c>
      <c r="J17" s="18" t="n">
        <f aca="false">E17*H17</f>
        <v>350</v>
      </c>
      <c r="K17" s="19"/>
      <c r="L17" s="20"/>
      <c r="M17" s="18" t="str">
        <f aca="false">IF(L17="","",E17*L17)</f>
        <v/>
      </c>
      <c r="N17" s="19" t="s">
        <v>20</v>
      </c>
      <c r="O17" s="15" t="n">
        <v>1</v>
      </c>
      <c r="P17" s="15" t="s">
        <v>102</v>
      </c>
    </row>
    <row r="18" customFormat="false" ht="15" hidden="false" customHeight="false" outlineLevel="0" collapsed="false">
      <c r="A18" s="15" t="s">
        <v>103</v>
      </c>
      <c r="B18" s="15" t="s">
        <v>9</v>
      </c>
      <c r="C18" s="15" t="s">
        <v>104</v>
      </c>
      <c r="D18" s="15" t="s">
        <v>105</v>
      </c>
      <c r="E18" s="16" t="n">
        <v>1</v>
      </c>
      <c r="F18" s="15" t="s">
        <v>48</v>
      </c>
      <c r="G18" s="17" t="n">
        <v>40</v>
      </c>
      <c r="H18" s="17" t="n">
        <v>100</v>
      </c>
      <c r="I18" s="18" t="n">
        <f aca="false">E18*G18</f>
        <v>40</v>
      </c>
      <c r="J18" s="18" t="n">
        <f aca="false">E18*H18</f>
        <v>100</v>
      </c>
      <c r="K18" s="19"/>
      <c r="L18" s="20"/>
      <c r="M18" s="18" t="str">
        <f aca="false">IF(L18="","",E18*L18)</f>
        <v/>
      </c>
      <c r="N18" s="19" t="s">
        <v>20</v>
      </c>
      <c r="O18" s="15" t="n">
        <v>2</v>
      </c>
      <c r="P18" s="15"/>
    </row>
    <row r="19" customFormat="false" ht="15" hidden="false" customHeight="false" outlineLevel="0" collapsed="false">
      <c r="A19" s="15" t="s">
        <v>106</v>
      </c>
      <c r="B19" s="15" t="s">
        <v>9</v>
      </c>
      <c r="C19" s="15" t="s">
        <v>107</v>
      </c>
      <c r="D19" s="15" t="s">
        <v>108</v>
      </c>
      <c r="E19" s="16" t="n">
        <v>1</v>
      </c>
      <c r="F19" s="15" t="s">
        <v>48</v>
      </c>
      <c r="G19" s="17" t="n">
        <v>30</v>
      </c>
      <c r="H19" s="17" t="n">
        <v>80</v>
      </c>
      <c r="I19" s="18" t="n">
        <f aca="false">E19*G19</f>
        <v>30</v>
      </c>
      <c r="J19" s="18" t="n">
        <f aca="false">E19*H19</f>
        <v>80</v>
      </c>
      <c r="K19" s="19"/>
      <c r="L19" s="20"/>
      <c r="M19" s="18" t="str">
        <f aca="false">IF(L19="","",E19*L19)</f>
        <v/>
      </c>
      <c r="N19" s="19" t="s">
        <v>20</v>
      </c>
      <c r="O19" s="15" t="n">
        <v>4</v>
      </c>
      <c r="P19" s="15" t="s">
        <v>109</v>
      </c>
    </row>
    <row r="20" customFormat="false" ht="15" hidden="false" customHeight="false" outlineLevel="0" collapsed="false">
      <c r="A20" s="15" t="s">
        <v>110</v>
      </c>
      <c r="B20" s="15" t="s">
        <v>9</v>
      </c>
      <c r="C20" s="15" t="s">
        <v>111</v>
      </c>
      <c r="D20" s="15" t="s">
        <v>112</v>
      </c>
      <c r="E20" s="16" t="n">
        <v>1</v>
      </c>
      <c r="F20" s="15" t="s">
        <v>48</v>
      </c>
      <c r="G20" s="17" t="n">
        <v>30</v>
      </c>
      <c r="H20" s="17" t="n">
        <v>60</v>
      </c>
      <c r="I20" s="18" t="n">
        <f aca="false">E20*G20</f>
        <v>30</v>
      </c>
      <c r="J20" s="18" t="n">
        <f aca="false">E20*H20</f>
        <v>60</v>
      </c>
      <c r="K20" s="19"/>
      <c r="L20" s="20"/>
      <c r="M20" s="18" t="str">
        <f aca="false">IF(L20="","",E20*L20)</f>
        <v/>
      </c>
      <c r="N20" s="19" t="s">
        <v>20</v>
      </c>
      <c r="O20" s="15" t="n">
        <v>3</v>
      </c>
      <c r="P20" s="15" t="s">
        <v>113</v>
      </c>
    </row>
    <row r="21" customFormat="false" ht="23.85" hidden="false" customHeight="false" outlineLevel="0" collapsed="false">
      <c r="A21" s="15" t="s">
        <v>114</v>
      </c>
      <c r="B21" s="15" t="s">
        <v>9</v>
      </c>
      <c r="C21" s="15" t="s">
        <v>115</v>
      </c>
      <c r="D21" s="15" t="s">
        <v>116</v>
      </c>
      <c r="E21" s="16" t="n">
        <v>1</v>
      </c>
      <c r="F21" s="15" t="s">
        <v>48</v>
      </c>
      <c r="G21" s="17" t="n">
        <v>70</v>
      </c>
      <c r="H21" s="17" t="n">
        <v>140</v>
      </c>
      <c r="I21" s="18" t="n">
        <f aca="false">E21*G21</f>
        <v>70</v>
      </c>
      <c r="J21" s="18" t="n">
        <f aca="false">E21*H21</f>
        <v>140</v>
      </c>
      <c r="K21" s="19"/>
      <c r="L21" s="20"/>
      <c r="M21" s="18" t="str">
        <f aca="false">IF(L21="","",E21*L21)</f>
        <v/>
      </c>
      <c r="N21" s="19" t="s">
        <v>20</v>
      </c>
      <c r="O21" s="15" t="n">
        <v>3</v>
      </c>
      <c r="P21" s="15" t="s">
        <v>117</v>
      </c>
    </row>
    <row r="22" customFormat="false" ht="15" hidden="false" customHeight="false" outlineLevel="0" collapsed="false">
      <c r="A22" s="15" t="s">
        <v>118</v>
      </c>
      <c r="B22" s="15" t="s">
        <v>9</v>
      </c>
      <c r="C22" s="15" t="s">
        <v>119</v>
      </c>
      <c r="D22" s="15" t="s">
        <v>120</v>
      </c>
      <c r="E22" s="16" t="n">
        <v>2</v>
      </c>
      <c r="F22" s="15" t="s">
        <v>48</v>
      </c>
      <c r="G22" s="17" t="n">
        <v>15</v>
      </c>
      <c r="H22" s="17" t="n">
        <v>30</v>
      </c>
      <c r="I22" s="18" t="n">
        <f aca="false">E22*G22</f>
        <v>30</v>
      </c>
      <c r="J22" s="18" t="n">
        <f aca="false">E22*H22</f>
        <v>60</v>
      </c>
      <c r="K22" s="19"/>
      <c r="L22" s="20"/>
      <c r="M22" s="18" t="str">
        <f aca="false">IF(L22="","",E22*L22)</f>
        <v/>
      </c>
      <c r="N22" s="19" t="s">
        <v>20</v>
      </c>
      <c r="O22" s="15" t="n">
        <v>3</v>
      </c>
      <c r="P22" s="15" t="s">
        <v>121</v>
      </c>
    </row>
    <row r="23" customFormat="false" ht="15" hidden="false" customHeight="false" outlineLevel="0" collapsed="false">
      <c r="A23" s="15" t="s">
        <v>122</v>
      </c>
      <c r="B23" s="15" t="s">
        <v>9</v>
      </c>
      <c r="C23" s="15" t="s">
        <v>123</v>
      </c>
      <c r="D23" s="15" t="s">
        <v>124</v>
      </c>
      <c r="E23" s="16" t="n">
        <v>2</v>
      </c>
      <c r="F23" s="15" t="s">
        <v>48</v>
      </c>
      <c r="G23" s="17" t="n">
        <v>10</v>
      </c>
      <c r="H23" s="17" t="n">
        <v>25</v>
      </c>
      <c r="I23" s="18" t="n">
        <f aca="false">E23*G23</f>
        <v>20</v>
      </c>
      <c r="J23" s="18" t="n">
        <f aca="false">E23*H23</f>
        <v>50</v>
      </c>
      <c r="K23" s="19"/>
      <c r="L23" s="20"/>
      <c r="M23" s="18" t="str">
        <f aca="false">IF(L23="","",E23*L23)</f>
        <v/>
      </c>
      <c r="N23" s="19" t="s">
        <v>20</v>
      </c>
      <c r="O23" s="15" t="n">
        <v>3</v>
      </c>
      <c r="P23" s="15" t="s">
        <v>125</v>
      </c>
    </row>
    <row r="24" customFormat="false" ht="23.85" hidden="false" customHeight="false" outlineLevel="0" collapsed="false">
      <c r="A24" s="15" t="s">
        <v>126</v>
      </c>
      <c r="B24" s="15" t="s">
        <v>9</v>
      </c>
      <c r="C24" s="15" t="s">
        <v>127</v>
      </c>
      <c r="D24" s="15" t="s">
        <v>128</v>
      </c>
      <c r="E24" s="16" t="n">
        <v>1</v>
      </c>
      <c r="F24" s="15" t="s">
        <v>48</v>
      </c>
      <c r="G24" s="17" t="n">
        <v>20</v>
      </c>
      <c r="H24" s="17" t="n">
        <v>40</v>
      </c>
      <c r="I24" s="18" t="n">
        <f aca="false">E24*G24</f>
        <v>20</v>
      </c>
      <c r="J24" s="18" t="n">
        <f aca="false">E24*H24</f>
        <v>40</v>
      </c>
      <c r="K24" s="19"/>
      <c r="L24" s="20"/>
      <c r="M24" s="18" t="str">
        <f aca="false">IF(L24="","",E24*L24)</f>
        <v/>
      </c>
      <c r="N24" s="19" t="s">
        <v>20</v>
      </c>
      <c r="O24" s="15" t="n">
        <v>4</v>
      </c>
      <c r="P24" s="15" t="s">
        <v>129</v>
      </c>
    </row>
    <row r="25" customFormat="false" ht="15" hidden="false" customHeight="false" outlineLevel="0" collapsed="false">
      <c r="A25" s="15" t="s">
        <v>130</v>
      </c>
      <c r="B25" s="15" t="s">
        <v>9</v>
      </c>
      <c r="C25" s="15" t="s">
        <v>131</v>
      </c>
      <c r="D25" s="15" t="s">
        <v>132</v>
      </c>
      <c r="E25" s="16" t="n">
        <v>1</v>
      </c>
      <c r="F25" s="15" t="s">
        <v>48</v>
      </c>
      <c r="G25" s="17" t="n">
        <v>40</v>
      </c>
      <c r="H25" s="17" t="n">
        <v>80</v>
      </c>
      <c r="I25" s="18" t="n">
        <f aca="false">E25*G25</f>
        <v>40</v>
      </c>
      <c r="J25" s="18" t="n">
        <f aca="false">E25*H25</f>
        <v>80</v>
      </c>
      <c r="K25" s="19"/>
      <c r="L25" s="20"/>
      <c r="M25" s="18" t="str">
        <f aca="false">IF(L25="","",E25*L25)</f>
        <v/>
      </c>
      <c r="N25" s="19" t="s">
        <v>20</v>
      </c>
      <c r="O25" s="15" t="n">
        <v>4</v>
      </c>
      <c r="P25" s="15"/>
    </row>
    <row r="26" customFormat="false" ht="15" hidden="false" customHeight="false" outlineLevel="0" collapsed="false">
      <c r="A26" s="15" t="s">
        <v>133</v>
      </c>
      <c r="B26" s="15" t="s">
        <v>9</v>
      </c>
      <c r="C26" s="15" t="s">
        <v>134</v>
      </c>
      <c r="D26" s="15" t="s">
        <v>135</v>
      </c>
      <c r="E26" s="16" t="n">
        <v>1</v>
      </c>
      <c r="F26" s="15" t="s">
        <v>48</v>
      </c>
      <c r="G26" s="17" t="n">
        <v>25</v>
      </c>
      <c r="H26" s="17" t="n">
        <v>60</v>
      </c>
      <c r="I26" s="18" t="n">
        <f aca="false">E26*G26</f>
        <v>25</v>
      </c>
      <c r="J26" s="18" t="n">
        <f aca="false">E26*H26</f>
        <v>60</v>
      </c>
      <c r="K26" s="19"/>
      <c r="L26" s="20"/>
      <c r="M26" s="18" t="str">
        <f aca="false">IF(L26="","",E26*L26)</f>
        <v/>
      </c>
      <c r="N26" s="19" t="s">
        <v>20</v>
      </c>
      <c r="O26" s="15" t="n">
        <v>4</v>
      </c>
      <c r="P26" s="15"/>
    </row>
    <row r="27" customFormat="false" ht="15" hidden="false" customHeight="false" outlineLevel="0" collapsed="false">
      <c r="A27" s="15" t="s">
        <v>136</v>
      </c>
      <c r="B27" s="15" t="s">
        <v>9</v>
      </c>
      <c r="C27" s="15" t="s">
        <v>137</v>
      </c>
      <c r="D27" s="15" t="s">
        <v>138</v>
      </c>
      <c r="E27" s="16" t="n">
        <v>1</v>
      </c>
      <c r="F27" s="15" t="s">
        <v>56</v>
      </c>
      <c r="G27" s="17" t="n">
        <v>30</v>
      </c>
      <c r="H27" s="17" t="n">
        <v>60</v>
      </c>
      <c r="I27" s="18" t="n">
        <f aca="false">E27*G27</f>
        <v>30</v>
      </c>
      <c r="J27" s="18" t="n">
        <f aca="false">E27*H27</f>
        <v>60</v>
      </c>
      <c r="K27" s="19"/>
      <c r="L27" s="20"/>
      <c r="M27" s="18" t="str">
        <f aca="false">IF(L27="","",E27*L27)</f>
        <v/>
      </c>
      <c r="N27" s="19" t="s">
        <v>20</v>
      </c>
      <c r="O27" s="15" t="n">
        <v>4</v>
      </c>
      <c r="P27" s="15"/>
    </row>
    <row r="28" customFormat="false" ht="15" hidden="false" customHeight="false" outlineLevel="0" collapsed="false">
      <c r="A28" s="15" t="s">
        <v>139</v>
      </c>
      <c r="B28" s="15" t="s">
        <v>9</v>
      </c>
      <c r="C28" s="15" t="s">
        <v>140</v>
      </c>
      <c r="D28" s="15" t="s">
        <v>141</v>
      </c>
      <c r="E28" s="16" t="n">
        <v>1</v>
      </c>
      <c r="F28" s="15" t="s">
        <v>61</v>
      </c>
      <c r="G28" s="17" t="n">
        <v>20</v>
      </c>
      <c r="H28" s="17" t="n">
        <v>40</v>
      </c>
      <c r="I28" s="18" t="n">
        <f aca="false">E28*G28</f>
        <v>20</v>
      </c>
      <c r="J28" s="18" t="n">
        <f aca="false">E28*H28</f>
        <v>40</v>
      </c>
      <c r="K28" s="19"/>
      <c r="L28" s="20"/>
      <c r="M28" s="18" t="str">
        <f aca="false">IF(L28="","",E28*L28)</f>
        <v/>
      </c>
      <c r="N28" s="19" t="s">
        <v>20</v>
      </c>
      <c r="O28" s="15" t="n">
        <v>4</v>
      </c>
      <c r="P28" s="15"/>
    </row>
    <row r="29" customFormat="false" ht="15" hidden="false" customHeight="false" outlineLevel="0" collapsed="false">
      <c r="A29" s="15" t="s">
        <v>142</v>
      </c>
      <c r="B29" s="15" t="s">
        <v>9</v>
      </c>
      <c r="C29" s="15" t="s">
        <v>143</v>
      </c>
      <c r="D29" s="15" t="s">
        <v>144</v>
      </c>
      <c r="E29" s="16" t="n">
        <v>1</v>
      </c>
      <c r="F29" s="15" t="s">
        <v>61</v>
      </c>
      <c r="G29" s="17" t="n">
        <v>20</v>
      </c>
      <c r="H29" s="17" t="n">
        <v>40</v>
      </c>
      <c r="I29" s="18" t="n">
        <f aca="false">E29*G29</f>
        <v>20</v>
      </c>
      <c r="J29" s="18" t="n">
        <f aca="false">E29*H29</f>
        <v>40</v>
      </c>
      <c r="K29" s="19"/>
      <c r="L29" s="20"/>
      <c r="M29" s="18" t="str">
        <f aca="false">IF(L29="","",E29*L29)</f>
        <v/>
      </c>
      <c r="N29" s="19" t="s">
        <v>20</v>
      </c>
      <c r="O29" s="15" t="n">
        <v>4</v>
      </c>
      <c r="P29" s="15" t="s">
        <v>145</v>
      </c>
    </row>
    <row r="30" customFormat="false" ht="15" hidden="false" customHeight="false" outlineLevel="0" collapsed="false">
      <c r="A30" s="15" t="s">
        <v>146</v>
      </c>
      <c r="B30" s="15" t="s">
        <v>9</v>
      </c>
      <c r="C30" s="15" t="s">
        <v>147</v>
      </c>
      <c r="D30" s="15" t="s">
        <v>148</v>
      </c>
      <c r="E30" s="16" t="n">
        <v>1</v>
      </c>
      <c r="F30" s="15" t="s">
        <v>48</v>
      </c>
      <c r="G30" s="17" t="n">
        <v>60</v>
      </c>
      <c r="H30" s="17" t="n">
        <v>120</v>
      </c>
      <c r="I30" s="18" t="n">
        <f aca="false">E30*G30</f>
        <v>60</v>
      </c>
      <c r="J30" s="18" t="n">
        <f aca="false">E30*H30</f>
        <v>120</v>
      </c>
      <c r="K30" s="19"/>
      <c r="L30" s="20"/>
      <c r="M30" s="18" t="str">
        <f aca="false">IF(L30="","",E30*L30)</f>
        <v/>
      </c>
      <c r="N30" s="19" t="s">
        <v>20</v>
      </c>
      <c r="O30" s="15" t="n">
        <v>4</v>
      </c>
      <c r="P30" s="15"/>
    </row>
    <row r="31" customFormat="false" ht="23.85" hidden="false" customHeight="false" outlineLevel="0" collapsed="false">
      <c r="A31" s="15" t="s">
        <v>149</v>
      </c>
      <c r="B31" s="15" t="s">
        <v>9</v>
      </c>
      <c r="C31" s="15" t="s">
        <v>150</v>
      </c>
      <c r="D31" s="15" t="s">
        <v>151</v>
      </c>
      <c r="E31" s="16" t="n">
        <v>1</v>
      </c>
      <c r="F31" s="15" t="s">
        <v>61</v>
      </c>
      <c r="G31" s="17" t="n">
        <v>30</v>
      </c>
      <c r="H31" s="17" t="n">
        <v>60</v>
      </c>
      <c r="I31" s="18" t="n">
        <f aca="false">E31*G31</f>
        <v>30</v>
      </c>
      <c r="J31" s="18" t="n">
        <f aca="false">E31*H31</f>
        <v>60</v>
      </c>
      <c r="K31" s="19"/>
      <c r="L31" s="20"/>
      <c r="M31" s="18" t="str">
        <f aca="false">IF(L31="","",E31*L31)</f>
        <v/>
      </c>
      <c r="N31" s="19" t="s">
        <v>20</v>
      </c>
      <c r="O31" s="15" t="n">
        <v>4</v>
      </c>
      <c r="P31" s="15"/>
    </row>
    <row r="32" customFormat="false" ht="15" hidden="false" customHeight="false" outlineLevel="0" collapsed="false">
      <c r="A32" s="15" t="s">
        <v>152</v>
      </c>
      <c r="B32" s="15" t="s">
        <v>9</v>
      </c>
      <c r="C32" s="15" t="s">
        <v>153</v>
      </c>
      <c r="D32" s="15" t="s">
        <v>154</v>
      </c>
      <c r="E32" s="16" t="n">
        <v>1</v>
      </c>
      <c r="F32" s="15" t="s">
        <v>61</v>
      </c>
      <c r="G32" s="17" t="n">
        <v>15</v>
      </c>
      <c r="H32" s="17" t="n">
        <v>30</v>
      </c>
      <c r="I32" s="18" t="n">
        <f aca="false">E32*G32</f>
        <v>15</v>
      </c>
      <c r="J32" s="18" t="n">
        <f aca="false">E32*H32</f>
        <v>30</v>
      </c>
      <c r="K32" s="19"/>
      <c r="L32" s="20"/>
      <c r="M32" s="18" t="str">
        <f aca="false">IF(L32="","",E32*L32)</f>
        <v/>
      </c>
      <c r="N32" s="19" t="s">
        <v>20</v>
      </c>
      <c r="O32" s="15" t="n">
        <v>4</v>
      </c>
      <c r="P32" s="15"/>
    </row>
    <row r="33" customFormat="false" ht="23.85" hidden="false" customHeight="false" outlineLevel="0" collapsed="false">
      <c r="A33" s="15" t="s">
        <v>155</v>
      </c>
      <c r="B33" s="15" t="s">
        <v>9</v>
      </c>
      <c r="C33" s="15" t="s">
        <v>156</v>
      </c>
      <c r="D33" s="15" t="s">
        <v>157</v>
      </c>
      <c r="E33" s="16" t="n">
        <v>1</v>
      </c>
      <c r="F33" s="15" t="s">
        <v>56</v>
      </c>
      <c r="G33" s="17" t="n">
        <v>0</v>
      </c>
      <c r="H33" s="17" t="n">
        <v>0</v>
      </c>
      <c r="I33" s="18" t="n">
        <f aca="false">E33*G33</f>
        <v>0</v>
      </c>
      <c r="J33" s="18" t="n">
        <f aca="false">E33*H33</f>
        <v>0</v>
      </c>
      <c r="K33" s="19"/>
      <c r="L33" s="20"/>
      <c r="M33" s="18" t="str">
        <f aca="false">IF(L33="","",E33*L33)</f>
        <v/>
      </c>
      <c r="N33" s="19" t="s">
        <v>20</v>
      </c>
      <c r="O33" s="15" t="n">
        <v>1</v>
      </c>
      <c r="P33" s="15" t="s">
        <v>158</v>
      </c>
    </row>
    <row r="34" customFormat="false" ht="23.85" hidden="false" customHeight="false" outlineLevel="0" collapsed="false">
      <c r="A34" s="15" t="s">
        <v>159</v>
      </c>
      <c r="B34" s="15" t="s">
        <v>10</v>
      </c>
      <c r="C34" s="15" t="s">
        <v>160</v>
      </c>
      <c r="D34" s="15" t="s">
        <v>161</v>
      </c>
      <c r="E34" s="16" t="n">
        <v>1</v>
      </c>
      <c r="F34" s="15" t="s">
        <v>48</v>
      </c>
      <c r="G34" s="17" t="n">
        <v>300</v>
      </c>
      <c r="H34" s="17" t="n">
        <v>700</v>
      </c>
      <c r="I34" s="18" t="n">
        <f aca="false">E34*G34</f>
        <v>300</v>
      </c>
      <c r="J34" s="18" t="n">
        <f aca="false">E34*H34</f>
        <v>700</v>
      </c>
      <c r="K34" s="19"/>
      <c r="L34" s="20"/>
      <c r="M34" s="18" t="str">
        <f aca="false">IF(L34="","",E34*L34)</f>
        <v/>
      </c>
      <c r="N34" s="19" t="s">
        <v>20</v>
      </c>
      <c r="O34" s="15" t="n">
        <v>2</v>
      </c>
      <c r="P34" s="15" t="s">
        <v>162</v>
      </c>
    </row>
    <row r="35" customFormat="false" ht="15" hidden="false" customHeight="false" outlineLevel="0" collapsed="false">
      <c r="A35" s="15" t="s">
        <v>163</v>
      </c>
      <c r="B35" s="15" t="s">
        <v>10</v>
      </c>
      <c r="C35" s="15" t="s">
        <v>164</v>
      </c>
      <c r="D35" s="15" t="s">
        <v>165</v>
      </c>
      <c r="E35" s="16" t="n">
        <v>1</v>
      </c>
      <c r="F35" s="15" t="s">
        <v>56</v>
      </c>
      <c r="G35" s="17" t="n">
        <v>15</v>
      </c>
      <c r="H35" s="17" t="n">
        <v>40</v>
      </c>
      <c r="I35" s="18" t="n">
        <f aca="false">E35*G35</f>
        <v>15</v>
      </c>
      <c r="J35" s="18" t="n">
        <f aca="false">E35*H35</f>
        <v>40</v>
      </c>
      <c r="K35" s="19"/>
      <c r="L35" s="20"/>
      <c r="M35" s="18" t="str">
        <f aca="false">IF(L35="","",E35*L35)</f>
        <v/>
      </c>
      <c r="N35" s="19" t="s">
        <v>20</v>
      </c>
      <c r="O35" s="15" t="n">
        <v>2</v>
      </c>
      <c r="P35" s="15"/>
    </row>
    <row r="36" customFormat="false" ht="23.85" hidden="false" customHeight="false" outlineLevel="0" collapsed="false">
      <c r="A36" s="15" t="s">
        <v>166</v>
      </c>
      <c r="B36" s="15" t="s">
        <v>10</v>
      </c>
      <c r="C36" s="15" t="s">
        <v>167</v>
      </c>
      <c r="D36" s="15" t="s">
        <v>168</v>
      </c>
      <c r="E36" s="16" t="n">
        <v>1</v>
      </c>
      <c r="F36" s="15" t="s">
        <v>48</v>
      </c>
      <c r="G36" s="17" t="n">
        <v>200</v>
      </c>
      <c r="H36" s="17" t="n">
        <v>450</v>
      </c>
      <c r="I36" s="18" t="n">
        <f aca="false">E36*G36</f>
        <v>200</v>
      </c>
      <c r="J36" s="18" t="n">
        <f aca="false">E36*H36</f>
        <v>450</v>
      </c>
      <c r="K36" s="19"/>
      <c r="L36" s="20"/>
      <c r="M36" s="18" t="str">
        <f aca="false">IF(L36="","",E36*L36)</f>
        <v/>
      </c>
      <c r="N36" s="19" t="s">
        <v>20</v>
      </c>
      <c r="O36" s="15" t="n">
        <v>2</v>
      </c>
      <c r="P36" s="15" t="s">
        <v>169</v>
      </c>
    </row>
    <row r="37" customFormat="false" ht="15" hidden="false" customHeight="false" outlineLevel="0" collapsed="false">
      <c r="A37" s="15" t="s">
        <v>170</v>
      </c>
      <c r="B37" s="15" t="s">
        <v>10</v>
      </c>
      <c r="C37" s="15" t="s">
        <v>171</v>
      </c>
      <c r="D37" s="15" t="s">
        <v>172</v>
      </c>
      <c r="E37" s="16" t="n">
        <v>1</v>
      </c>
      <c r="F37" s="15" t="s">
        <v>48</v>
      </c>
      <c r="G37" s="17" t="n">
        <v>50</v>
      </c>
      <c r="H37" s="17" t="n">
        <v>150</v>
      </c>
      <c r="I37" s="18" t="n">
        <f aca="false">E37*G37</f>
        <v>50</v>
      </c>
      <c r="J37" s="18" t="n">
        <f aca="false">E37*H37</f>
        <v>150</v>
      </c>
      <c r="K37" s="19"/>
      <c r="L37" s="20"/>
      <c r="M37" s="18" t="str">
        <f aca="false">IF(L37="","",E37*L37)</f>
        <v/>
      </c>
      <c r="N37" s="19" t="s">
        <v>20</v>
      </c>
      <c r="O37" s="15" t="n">
        <v>2</v>
      </c>
      <c r="P37" s="15"/>
    </row>
    <row r="38" customFormat="false" ht="15" hidden="false" customHeight="false" outlineLevel="0" collapsed="false">
      <c r="A38" s="15" t="s">
        <v>173</v>
      </c>
      <c r="B38" s="15" t="s">
        <v>10</v>
      </c>
      <c r="C38" s="15" t="s">
        <v>174</v>
      </c>
      <c r="D38" s="15" t="s">
        <v>175</v>
      </c>
      <c r="E38" s="16" t="n">
        <v>1</v>
      </c>
      <c r="F38" s="15" t="s">
        <v>48</v>
      </c>
      <c r="G38" s="17" t="n">
        <v>15</v>
      </c>
      <c r="H38" s="17" t="n">
        <v>40</v>
      </c>
      <c r="I38" s="18" t="n">
        <f aca="false">E38*G38</f>
        <v>15</v>
      </c>
      <c r="J38" s="18" t="n">
        <f aca="false">E38*H38</f>
        <v>40</v>
      </c>
      <c r="K38" s="19"/>
      <c r="L38" s="20"/>
      <c r="M38" s="18" t="str">
        <f aca="false">IF(L38="","",E38*L38)</f>
        <v/>
      </c>
      <c r="N38" s="19" t="s">
        <v>20</v>
      </c>
      <c r="O38" s="15" t="n">
        <v>4</v>
      </c>
      <c r="P38" s="15"/>
    </row>
    <row r="39" customFormat="false" ht="15" hidden="false" customHeight="false" outlineLevel="0" collapsed="false">
      <c r="A39" s="15" t="s">
        <v>176</v>
      </c>
      <c r="B39" s="15" t="s">
        <v>10</v>
      </c>
      <c r="C39" s="15" t="s">
        <v>177</v>
      </c>
      <c r="D39" s="15" t="s">
        <v>178</v>
      </c>
      <c r="E39" s="16" t="n">
        <v>1</v>
      </c>
      <c r="F39" s="15" t="s">
        <v>48</v>
      </c>
      <c r="G39" s="17" t="n">
        <v>3</v>
      </c>
      <c r="H39" s="17" t="n">
        <v>8</v>
      </c>
      <c r="I39" s="18" t="n">
        <f aca="false">E39*G39</f>
        <v>3</v>
      </c>
      <c r="J39" s="18" t="n">
        <f aca="false">E39*H39</f>
        <v>8</v>
      </c>
      <c r="K39" s="19"/>
      <c r="L39" s="20"/>
      <c r="M39" s="18" t="str">
        <f aca="false">IF(L39="","",E39*L39)</f>
        <v/>
      </c>
      <c r="N39" s="19" t="s">
        <v>20</v>
      </c>
      <c r="O39" s="15" t="n">
        <v>4</v>
      </c>
      <c r="P39" s="15"/>
    </row>
    <row r="40" customFormat="false" ht="23.85" hidden="false" customHeight="false" outlineLevel="0" collapsed="false">
      <c r="A40" s="15" t="s">
        <v>179</v>
      </c>
      <c r="B40" s="15" t="s">
        <v>10</v>
      </c>
      <c r="C40" s="15" t="s">
        <v>180</v>
      </c>
      <c r="D40" s="15" t="s">
        <v>181</v>
      </c>
      <c r="E40" s="16" t="n">
        <v>3</v>
      </c>
      <c r="F40" s="15" t="s">
        <v>48</v>
      </c>
      <c r="G40" s="17" t="n">
        <v>10</v>
      </c>
      <c r="H40" s="17" t="n">
        <v>25</v>
      </c>
      <c r="I40" s="18" t="n">
        <f aca="false">E40*G40</f>
        <v>30</v>
      </c>
      <c r="J40" s="18" t="n">
        <f aca="false">E40*H40</f>
        <v>75</v>
      </c>
      <c r="K40" s="19"/>
      <c r="L40" s="20"/>
      <c r="M40" s="18" t="str">
        <f aca="false">IF(L40="","",E40*L40)</f>
        <v/>
      </c>
      <c r="N40" s="19" t="s">
        <v>20</v>
      </c>
      <c r="O40" s="15" t="n">
        <v>4</v>
      </c>
      <c r="P40" s="15" t="s">
        <v>182</v>
      </c>
    </row>
    <row r="41" customFormat="false" ht="15" hidden="false" customHeight="false" outlineLevel="0" collapsed="false">
      <c r="A41" s="15" t="s">
        <v>183</v>
      </c>
      <c r="B41" s="15" t="s">
        <v>10</v>
      </c>
      <c r="C41" s="15" t="s">
        <v>184</v>
      </c>
      <c r="D41" s="15" t="s">
        <v>185</v>
      </c>
      <c r="E41" s="16" t="n">
        <v>1</v>
      </c>
      <c r="F41" s="15" t="s">
        <v>48</v>
      </c>
      <c r="G41" s="17" t="n">
        <v>15</v>
      </c>
      <c r="H41" s="17" t="n">
        <v>40</v>
      </c>
      <c r="I41" s="18" t="n">
        <f aca="false">E41*G41</f>
        <v>15</v>
      </c>
      <c r="J41" s="18" t="n">
        <f aca="false">E41*H41</f>
        <v>40</v>
      </c>
      <c r="K41" s="19"/>
      <c r="L41" s="20"/>
      <c r="M41" s="18" t="str">
        <f aca="false">IF(L41="","",E41*L41)</f>
        <v/>
      </c>
      <c r="N41" s="19" t="s">
        <v>20</v>
      </c>
      <c r="O41" s="15" t="n">
        <v>4</v>
      </c>
      <c r="P41" s="15"/>
    </row>
    <row r="42" customFormat="false" ht="15" hidden="false" customHeight="false" outlineLevel="0" collapsed="false">
      <c r="A42" s="15" t="s">
        <v>186</v>
      </c>
      <c r="B42" s="15" t="s">
        <v>10</v>
      </c>
      <c r="C42" s="15" t="s">
        <v>187</v>
      </c>
      <c r="D42" s="15" t="s">
        <v>188</v>
      </c>
      <c r="E42" s="16" t="n">
        <v>1</v>
      </c>
      <c r="F42" s="15" t="s">
        <v>56</v>
      </c>
      <c r="G42" s="17" t="n">
        <v>15</v>
      </c>
      <c r="H42" s="17" t="n">
        <v>35</v>
      </c>
      <c r="I42" s="18" t="n">
        <f aca="false">E42*G42</f>
        <v>15</v>
      </c>
      <c r="J42" s="18" t="n">
        <f aca="false">E42*H42</f>
        <v>35</v>
      </c>
      <c r="K42" s="19"/>
      <c r="L42" s="20"/>
      <c r="M42" s="18" t="str">
        <f aca="false">IF(L42="","",E42*L42)</f>
        <v/>
      </c>
      <c r="N42" s="19" t="s">
        <v>20</v>
      </c>
      <c r="O42" s="15" t="n">
        <v>5</v>
      </c>
      <c r="P42" s="15" t="s">
        <v>189</v>
      </c>
    </row>
    <row r="43" customFormat="false" ht="15" hidden="false" customHeight="false" outlineLevel="0" collapsed="false">
      <c r="A43" s="15" t="s">
        <v>190</v>
      </c>
      <c r="B43" s="15" t="s">
        <v>11</v>
      </c>
      <c r="C43" s="15" t="s">
        <v>191</v>
      </c>
      <c r="D43" s="15" t="s">
        <v>192</v>
      </c>
      <c r="E43" s="16" t="n">
        <v>1</v>
      </c>
      <c r="F43" s="15" t="s">
        <v>48</v>
      </c>
      <c r="G43" s="17" t="n">
        <v>30</v>
      </c>
      <c r="H43" s="17" t="n">
        <v>45</v>
      </c>
      <c r="I43" s="18" t="n">
        <f aca="false">E43*G43</f>
        <v>30</v>
      </c>
      <c r="J43" s="18" t="n">
        <f aca="false">E43*H43</f>
        <v>45</v>
      </c>
      <c r="K43" s="19"/>
      <c r="L43" s="20"/>
      <c r="M43" s="18" t="str">
        <f aca="false">IF(L43="","",E43*L43)</f>
        <v/>
      </c>
      <c r="N43" s="19" t="s">
        <v>20</v>
      </c>
      <c r="O43" s="15" t="n">
        <v>4</v>
      </c>
      <c r="P43" s="15" t="s">
        <v>193</v>
      </c>
    </row>
    <row r="44" customFormat="false" ht="23.85" hidden="false" customHeight="false" outlineLevel="0" collapsed="false">
      <c r="A44" s="15" t="s">
        <v>194</v>
      </c>
      <c r="B44" s="15" t="s">
        <v>11</v>
      </c>
      <c r="C44" s="15" t="s">
        <v>195</v>
      </c>
      <c r="D44" s="15" t="s">
        <v>196</v>
      </c>
      <c r="E44" s="16" t="n">
        <v>1</v>
      </c>
      <c r="F44" s="15" t="s">
        <v>48</v>
      </c>
      <c r="G44" s="17" t="n">
        <v>15</v>
      </c>
      <c r="H44" s="17" t="n">
        <v>40</v>
      </c>
      <c r="I44" s="18" t="n">
        <f aca="false">E44*G44</f>
        <v>15</v>
      </c>
      <c r="J44" s="18" t="n">
        <f aca="false">E44*H44</f>
        <v>40</v>
      </c>
      <c r="K44" s="19"/>
      <c r="L44" s="20"/>
      <c r="M44" s="18" t="str">
        <f aca="false">IF(L44="","",E44*L44)</f>
        <v/>
      </c>
      <c r="N44" s="19" t="s">
        <v>20</v>
      </c>
      <c r="O44" s="15" t="n">
        <v>4</v>
      </c>
      <c r="P44" s="15"/>
    </row>
    <row r="45" customFormat="false" ht="23.85" hidden="false" customHeight="false" outlineLevel="0" collapsed="false">
      <c r="A45" s="15" t="s">
        <v>197</v>
      </c>
      <c r="B45" s="15" t="s">
        <v>11</v>
      </c>
      <c r="C45" s="15" t="s">
        <v>198</v>
      </c>
      <c r="D45" s="15" t="s">
        <v>199</v>
      </c>
      <c r="E45" s="16" t="n">
        <v>1</v>
      </c>
      <c r="F45" s="15" t="s">
        <v>48</v>
      </c>
      <c r="G45" s="17" t="n">
        <v>5</v>
      </c>
      <c r="H45" s="17" t="n">
        <v>20</v>
      </c>
      <c r="I45" s="18" t="n">
        <f aca="false">E45*G45</f>
        <v>5</v>
      </c>
      <c r="J45" s="18" t="n">
        <f aca="false">E45*H45</f>
        <v>20</v>
      </c>
      <c r="K45" s="19"/>
      <c r="L45" s="20"/>
      <c r="M45" s="18" t="str">
        <f aca="false">IF(L45="","",E45*L45)</f>
        <v/>
      </c>
      <c r="N45" s="19" t="s">
        <v>20</v>
      </c>
      <c r="O45" s="15" t="n">
        <v>4</v>
      </c>
      <c r="P45" s="15"/>
    </row>
    <row r="46" customFormat="false" ht="15" hidden="false" customHeight="false" outlineLevel="0" collapsed="false">
      <c r="A46" s="15" t="s">
        <v>200</v>
      </c>
      <c r="B46" s="15" t="s">
        <v>11</v>
      </c>
      <c r="C46" s="15" t="s">
        <v>201</v>
      </c>
      <c r="D46" s="15" t="s">
        <v>202</v>
      </c>
      <c r="E46" s="16" t="n">
        <v>1</v>
      </c>
      <c r="F46" s="15" t="s">
        <v>48</v>
      </c>
      <c r="G46" s="17" t="n">
        <v>3</v>
      </c>
      <c r="H46" s="17" t="n">
        <v>10</v>
      </c>
      <c r="I46" s="18" t="n">
        <f aca="false">E46*G46</f>
        <v>3</v>
      </c>
      <c r="J46" s="18" t="n">
        <f aca="false">E46*H46</f>
        <v>10</v>
      </c>
      <c r="K46" s="19"/>
      <c r="L46" s="20"/>
      <c r="M46" s="18" t="str">
        <f aca="false">IF(L46="","",E46*L46)</f>
        <v/>
      </c>
      <c r="N46" s="19" t="s">
        <v>20</v>
      </c>
      <c r="O46" s="15" t="n">
        <v>4</v>
      </c>
      <c r="P46" s="15"/>
    </row>
    <row r="47" customFormat="false" ht="15" hidden="false" customHeight="false" outlineLevel="0" collapsed="false">
      <c r="A47" s="15" t="s">
        <v>203</v>
      </c>
      <c r="B47" s="15" t="s">
        <v>11</v>
      </c>
      <c r="C47" s="15" t="s">
        <v>204</v>
      </c>
      <c r="D47" s="15" t="s">
        <v>205</v>
      </c>
      <c r="E47" s="16" t="n">
        <v>1</v>
      </c>
      <c r="F47" s="15" t="s">
        <v>48</v>
      </c>
      <c r="G47" s="17" t="n">
        <v>3</v>
      </c>
      <c r="H47" s="17" t="n">
        <v>10</v>
      </c>
      <c r="I47" s="18" t="n">
        <f aca="false">E47*G47</f>
        <v>3</v>
      </c>
      <c r="J47" s="18" t="n">
        <f aca="false">E47*H47</f>
        <v>10</v>
      </c>
      <c r="K47" s="19"/>
      <c r="L47" s="20"/>
      <c r="M47" s="18" t="str">
        <f aca="false">IF(L47="","",E47*L47)</f>
        <v/>
      </c>
      <c r="N47" s="19" t="s">
        <v>20</v>
      </c>
      <c r="O47" s="15" t="n">
        <v>4</v>
      </c>
      <c r="P47" s="15"/>
    </row>
    <row r="48" customFormat="false" ht="15" hidden="false" customHeight="false" outlineLevel="0" collapsed="false">
      <c r="A48" s="15" t="s">
        <v>206</v>
      </c>
      <c r="B48" s="15" t="s">
        <v>11</v>
      </c>
      <c r="C48" s="15" t="s">
        <v>207</v>
      </c>
      <c r="D48" s="15" t="s">
        <v>208</v>
      </c>
      <c r="E48" s="16" t="n">
        <v>1</v>
      </c>
      <c r="F48" s="15" t="s">
        <v>48</v>
      </c>
      <c r="G48" s="17" t="n">
        <v>10</v>
      </c>
      <c r="H48" s="17" t="n">
        <v>30</v>
      </c>
      <c r="I48" s="18" t="n">
        <f aca="false">E48*G48</f>
        <v>10</v>
      </c>
      <c r="J48" s="18" t="n">
        <f aca="false">E48*H48</f>
        <v>30</v>
      </c>
      <c r="K48" s="19"/>
      <c r="L48" s="20"/>
      <c r="M48" s="18" t="str">
        <f aca="false">IF(L48="","",E48*L48)</f>
        <v/>
      </c>
      <c r="N48" s="19" t="s">
        <v>20</v>
      </c>
      <c r="O48" s="15" t="n">
        <v>4</v>
      </c>
      <c r="P48" s="15" t="s">
        <v>209</v>
      </c>
    </row>
    <row r="49" customFormat="false" ht="23.85" hidden="false" customHeight="false" outlineLevel="0" collapsed="false">
      <c r="A49" s="15" t="s">
        <v>210</v>
      </c>
      <c r="B49" s="15" t="s">
        <v>11</v>
      </c>
      <c r="C49" s="15" t="s">
        <v>211</v>
      </c>
      <c r="D49" s="15" t="s">
        <v>212</v>
      </c>
      <c r="E49" s="16" t="n">
        <v>8</v>
      </c>
      <c r="F49" s="15" t="s">
        <v>48</v>
      </c>
      <c r="G49" s="17" t="n">
        <v>0.3</v>
      </c>
      <c r="H49" s="17" t="n">
        <v>1</v>
      </c>
      <c r="I49" s="18" t="n">
        <f aca="false">E49*G49</f>
        <v>2.4</v>
      </c>
      <c r="J49" s="18" t="n">
        <f aca="false">E49*H49</f>
        <v>8</v>
      </c>
      <c r="K49" s="19"/>
      <c r="L49" s="20"/>
      <c r="M49" s="18" t="str">
        <f aca="false">IF(L49="","",E49*L49)</f>
        <v/>
      </c>
      <c r="N49" s="19" t="s">
        <v>20</v>
      </c>
      <c r="O49" s="15" t="n">
        <v>4</v>
      </c>
      <c r="P49" s="15"/>
    </row>
    <row r="50" customFormat="false" ht="15" hidden="false" customHeight="false" outlineLevel="0" collapsed="false">
      <c r="A50" s="15" t="s">
        <v>213</v>
      </c>
      <c r="B50" s="15" t="s">
        <v>11</v>
      </c>
      <c r="C50" s="15" t="s">
        <v>214</v>
      </c>
      <c r="D50" s="15" t="s">
        <v>215</v>
      </c>
      <c r="E50" s="16" t="n">
        <v>1</v>
      </c>
      <c r="F50" s="15" t="s">
        <v>48</v>
      </c>
      <c r="G50" s="17" t="n">
        <v>8</v>
      </c>
      <c r="H50" s="17" t="n">
        <v>20</v>
      </c>
      <c r="I50" s="18" t="n">
        <f aca="false">E50*G50</f>
        <v>8</v>
      </c>
      <c r="J50" s="18" t="n">
        <f aca="false">E50*H50</f>
        <v>20</v>
      </c>
      <c r="K50" s="19"/>
      <c r="L50" s="20"/>
      <c r="M50" s="18" t="str">
        <f aca="false">IF(L50="","",E50*L50)</f>
        <v/>
      </c>
      <c r="N50" s="19" t="s">
        <v>20</v>
      </c>
      <c r="O50" s="15" t="n">
        <v>4</v>
      </c>
      <c r="P50" s="15" t="s">
        <v>216</v>
      </c>
    </row>
    <row r="51" customFormat="false" ht="15" hidden="false" customHeight="false" outlineLevel="0" collapsed="false">
      <c r="A51" s="15" t="s">
        <v>217</v>
      </c>
      <c r="B51" s="15" t="s">
        <v>11</v>
      </c>
      <c r="C51" s="15" t="s">
        <v>218</v>
      </c>
      <c r="D51" s="15" t="s">
        <v>219</v>
      </c>
      <c r="E51" s="16" t="n">
        <v>1</v>
      </c>
      <c r="F51" s="15" t="s">
        <v>61</v>
      </c>
      <c r="G51" s="17" t="n">
        <v>30</v>
      </c>
      <c r="H51" s="17" t="n">
        <v>80</v>
      </c>
      <c r="I51" s="18" t="n">
        <f aca="false">E51*G51</f>
        <v>30</v>
      </c>
      <c r="J51" s="18" t="n">
        <f aca="false">E51*H51</f>
        <v>80</v>
      </c>
      <c r="K51" s="19"/>
      <c r="L51" s="20"/>
      <c r="M51" s="18" t="str">
        <f aca="false">IF(L51="","",E51*L51)</f>
        <v/>
      </c>
      <c r="N51" s="19" t="s">
        <v>20</v>
      </c>
      <c r="O51" s="15" t="n">
        <v>4</v>
      </c>
      <c r="P51" s="15" t="s">
        <v>220</v>
      </c>
    </row>
    <row r="52" customFormat="false" ht="15" hidden="false" customHeight="false" outlineLevel="0" collapsed="false">
      <c r="A52" s="15" t="s">
        <v>221</v>
      </c>
      <c r="B52" s="15" t="s">
        <v>11</v>
      </c>
      <c r="C52" s="15" t="s">
        <v>222</v>
      </c>
      <c r="D52" s="15" t="s">
        <v>223</v>
      </c>
      <c r="E52" s="16" t="n">
        <v>1</v>
      </c>
      <c r="F52" s="15" t="s">
        <v>61</v>
      </c>
      <c r="G52" s="17" t="n">
        <v>20</v>
      </c>
      <c r="H52" s="17" t="n">
        <v>40</v>
      </c>
      <c r="I52" s="18" t="n">
        <f aca="false">E52*G52</f>
        <v>20</v>
      </c>
      <c r="J52" s="18" t="n">
        <f aca="false">E52*H52</f>
        <v>40</v>
      </c>
      <c r="K52" s="19"/>
      <c r="L52" s="20"/>
      <c r="M52" s="18" t="str">
        <f aca="false">IF(L52="","",E52*L52)</f>
        <v/>
      </c>
      <c r="N52" s="19" t="s">
        <v>20</v>
      </c>
      <c r="O52" s="15" t="n">
        <v>4</v>
      </c>
      <c r="P52" s="15"/>
    </row>
    <row r="53" customFormat="false" ht="15" hidden="false" customHeight="false" outlineLevel="0" collapsed="false">
      <c r="A53" s="15" t="s">
        <v>224</v>
      </c>
      <c r="B53" s="15" t="s">
        <v>11</v>
      </c>
      <c r="C53" s="15" t="s">
        <v>225</v>
      </c>
      <c r="D53" s="15" t="s">
        <v>226</v>
      </c>
      <c r="E53" s="16" t="n">
        <v>1</v>
      </c>
      <c r="F53" s="15" t="s">
        <v>48</v>
      </c>
      <c r="G53" s="17" t="n">
        <v>90</v>
      </c>
      <c r="H53" s="17" t="n">
        <v>130</v>
      </c>
      <c r="I53" s="18" t="n">
        <f aca="false">E53*G53</f>
        <v>90</v>
      </c>
      <c r="J53" s="18" t="n">
        <f aca="false">E53*H53</f>
        <v>130</v>
      </c>
      <c r="K53" s="19"/>
      <c r="L53" s="20"/>
      <c r="M53" s="18" t="str">
        <f aca="false">IF(L53="","",E53*L53)</f>
        <v/>
      </c>
      <c r="N53" s="19" t="s">
        <v>20</v>
      </c>
      <c r="O53" s="15" t="n">
        <v>4</v>
      </c>
      <c r="P53" s="15" t="s">
        <v>227</v>
      </c>
    </row>
    <row r="54" customFormat="false" ht="15" hidden="false" customHeight="false" outlineLevel="0" collapsed="false">
      <c r="A54" s="15" t="s">
        <v>228</v>
      </c>
      <c r="B54" s="15" t="s">
        <v>11</v>
      </c>
      <c r="C54" s="15" t="s">
        <v>229</v>
      </c>
      <c r="D54" s="15" t="s">
        <v>230</v>
      </c>
      <c r="E54" s="16" t="n">
        <v>1</v>
      </c>
      <c r="F54" s="15" t="s">
        <v>56</v>
      </c>
      <c r="G54" s="17" t="n">
        <v>35</v>
      </c>
      <c r="H54" s="17" t="n">
        <v>70</v>
      </c>
      <c r="I54" s="18" t="n">
        <f aca="false">E54*G54</f>
        <v>35</v>
      </c>
      <c r="J54" s="18" t="n">
        <f aca="false">E54*H54</f>
        <v>70</v>
      </c>
      <c r="K54" s="19"/>
      <c r="L54" s="20"/>
      <c r="M54" s="18" t="str">
        <f aca="false">IF(L54="","",E54*L54)</f>
        <v/>
      </c>
      <c r="N54" s="19" t="s">
        <v>20</v>
      </c>
      <c r="O54" s="15" t="n">
        <v>4</v>
      </c>
      <c r="P54" s="15" t="s">
        <v>231</v>
      </c>
    </row>
    <row r="55" customFormat="false" ht="15" hidden="false" customHeight="false" outlineLevel="0" collapsed="false">
      <c r="A55" s="15" t="s">
        <v>232</v>
      </c>
      <c r="B55" s="15" t="s">
        <v>11</v>
      </c>
      <c r="C55" s="15" t="s">
        <v>233</v>
      </c>
      <c r="D55" s="15" t="s">
        <v>234</v>
      </c>
      <c r="E55" s="16" t="n">
        <v>1</v>
      </c>
      <c r="F55" s="15" t="s">
        <v>48</v>
      </c>
      <c r="G55" s="17" t="n">
        <v>5</v>
      </c>
      <c r="H55" s="17" t="n">
        <v>10</v>
      </c>
      <c r="I55" s="18" t="n">
        <f aca="false">E55*G55</f>
        <v>5</v>
      </c>
      <c r="J55" s="18" t="n">
        <f aca="false">E55*H55</f>
        <v>10</v>
      </c>
      <c r="K55" s="19"/>
      <c r="L55" s="20"/>
      <c r="M55" s="18" t="str">
        <f aca="false">IF(L55="","",E55*L55)</f>
        <v/>
      </c>
      <c r="N55" s="19" t="s">
        <v>20</v>
      </c>
      <c r="O55" s="15" t="n">
        <v>4</v>
      </c>
      <c r="P55" s="15"/>
    </row>
    <row r="56" customFormat="false" ht="15" hidden="false" customHeight="false" outlineLevel="0" collapsed="false">
      <c r="A56" s="15" t="s">
        <v>235</v>
      </c>
      <c r="B56" s="15" t="s">
        <v>11</v>
      </c>
      <c r="C56" s="15" t="s">
        <v>236</v>
      </c>
      <c r="D56" s="15" t="s">
        <v>237</v>
      </c>
      <c r="E56" s="16" t="n">
        <v>1</v>
      </c>
      <c r="F56" s="15" t="s">
        <v>48</v>
      </c>
      <c r="G56" s="17" t="n">
        <v>5</v>
      </c>
      <c r="H56" s="17" t="n">
        <v>10</v>
      </c>
      <c r="I56" s="18" t="n">
        <f aca="false">E56*G56</f>
        <v>5</v>
      </c>
      <c r="J56" s="18" t="n">
        <f aca="false">E56*H56</f>
        <v>10</v>
      </c>
      <c r="K56" s="19"/>
      <c r="L56" s="20"/>
      <c r="M56" s="18" t="str">
        <f aca="false">IF(L56="","",E56*L56)</f>
        <v/>
      </c>
      <c r="N56" s="19" t="s">
        <v>20</v>
      </c>
      <c r="O56" s="15" t="n">
        <v>4</v>
      </c>
      <c r="P56" s="15" t="s">
        <v>238</v>
      </c>
    </row>
    <row r="57" customFormat="false" ht="15" hidden="false" customHeight="false" outlineLevel="0" collapsed="false">
      <c r="A57" s="15" t="s">
        <v>239</v>
      </c>
      <c r="B57" s="15" t="s">
        <v>11</v>
      </c>
      <c r="C57" s="15" t="s">
        <v>240</v>
      </c>
      <c r="D57" s="15" t="s">
        <v>241</v>
      </c>
      <c r="E57" s="16" t="n">
        <v>1</v>
      </c>
      <c r="F57" s="15" t="s">
        <v>48</v>
      </c>
      <c r="G57" s="17" t="n">
        <v>8</v>
      </c>
      <c r="H57" s="17" t="n">
        <v>15</v>
      </c>
      <c r="I57" s="18" t="n">
        <f aca="false">E57*G57</f>
        <v>8</v>
      </c>
      <c r="J57" s="18" t="n">
        <f aca="false">E57*H57</f>
        <v>15</v>
      </c>
      <c r="K57" s="19"/>
      <c r="L57" s="20"/>
      <c r="M57" s="18" t="str">
        <f aca="false">IF(L57="","",E57*L57)</f>
        <v/>
      </c>
      <c r="N57" s="19" t="s">
        <v>20</v>
      </c>
      <c r="O57" s="15" t="n">
        <v>4</v>
      </c>
      <c r="P57" s="15"/>
    </row>
    <row r="58" customFormat="false" ht="15" hidden="false" customHeight="false" outlineLevel="0" collapsed="false">
      <c r="A58" s="15" t="s">
        <v>242</v>
      </c>
      <c r="B58" s="15" t="s">
        <v>11</v>
      </c>
      <c r="C58" s="15" t="s">
        <v>243</v>
      </c>
      <c r="D58" s="15" t="s">
        <v>244</v>
      </c>
      <c r="E58" s="16" t="n">
        <v>1</v>
      </c>
      <c r="F58" s="15" t="s">
        <v>48</v>
      </c>
      <c r="G58" s="17" t="n">
        <v>100</v>
      </c>
      <c r="H58" s="17" t="n">
        <v>250</v>
      </c>
      <c r="I58" s="18" t="n">
        <f aca="false">E58*G58</f>
        <v>100</v>
      </c>
      <c r="J58" s="18" t="n">
        <f aca="false">E58*H58</f>
        <v>250</v>
      </c>
      <c r="K58" s="19"/>
      <c r="L58" s="20"/>
      <c r="M58" s="18" t="str">
        <f aca="false">IF(L58="","",E58*L58)</f>
        <v/>
      </c>
      <c r="N58" s="19" t="s">
        <v>20</v>
      </c>
      <c r="O58" s="15" t="n">
        <v>4</v>
      </c>
      <c r="P58" s="15" t="s">
        <v>245</v>
      </c>
    </row>
    <row r="59" customFormat="false" ht="15" hidden="false" customHeight="false" outlineLevel="0" collapsed="false">
      <c r="A59" s="15" t="s">
        <v>246</v>
      </c>
      <c r="B59" s="15" t="s">
        <v>11</v>
      </c>
      <c r="C59" s="15" t="s">
        <v>247</v>
      </c>
      <c r="D59" s="15" t="s">
        <v>248</v>
      </c>
      <c r="E59" s="16" t="n">
        <v>1</v>
      </c>
      <c r="F59" s="15" t="s">
        <v>61</v>
      </c>
      <c r="G59" s="17" t="n">
        <v>10</v>
      </c>
      <c r="H59" s="17" t="n">
        <v>20</v>
      </c>
      <c r="I59" s="18" t="n">
        <f aca="false">E59*G59</f>
        <v>10</v>
      </c>
      <c r="J59" s="18" t="n">
        <f aca="false">E59*H59</f>
        <v>20</v>
      </c>
      <c r="K59" s="19"/>
      <c r="L59" s="20"/>
      <c r="M59" s="18" t="str">
        <f aca="false">IF(L59="","",E59*L59)</f>
        <v/>
      </c>
      <c r="N59" s="19" t="s">
        <v>20</v>
      </c>
      <c r="O59" s="15" t="n">
        <v>4</v>
      </c>
      <c r="P59" s="15"/>
    </row>
    <row r="60" customFormat="false" ht="15" hidden="false" customHeight="false" outlineLevel="0" collapsed="false">
      <c r="A60" s="15" t="s">
        <v>249</v>
      </c>
      <c r="B60" s="15" t="s">
        <v>11</v>
      </c>
      <c r="C60" s="15" t="s">
        <v>250</v>
      </c>
      <c r="D60" s="15" t="s">
        <v>251</v>
      </c>
      <c r="E60" s="16" t="n">
        <v>1</v>
      </c>
      <c r="F60" s="15" t="s">
        <v>48</v>
      </c>
      <c r="G60" s="17" t="n">
        <v>30</v>
      </c>
      <c r="H60" s="17" t="n">
        <v>60</v>
      </c>
      <c r="I60" s="18" t="n">
        <f aca="false">E60*G60</f>
        <v>30</v>
      </c>
      <c r="J60" s="18" t="n">
        <f aca="false">E60*H60</f>
        <v>60</v>
      </c>
      <c r="K60" s="19"/>
      <c r="L60" s="20"/>
      <c r="M60" s="18" t="str">
        <f aca="false">IF(L60="","",E60*L60)</f>
        <v/>
      </c>
      <c r="N60" s="19" t="s">
        <v>20</v>
      </c>
      <c r="O60" s="15" t="n">
        <v>4</v>
      </c>
      <c r="P60" s="15"/>
    </row>
    <row r="61" customFormat="false" ht="15" hidden="false" customHeight="false" outlineLevel="0" collapsed="false">
      <c r="A61" s="15" t="s">
        <v>252</v>
      </c>
      <c r="B61" s="15" t="s">
        <v>11</v>
      </c>
      <c r="C61" s="15" t="s">
        <v>253</v>
      </c>
      <c r="D61" s="15" t="s">
        <v>254</v>
      </c>
      <c r="E61" s="16" t="n">
        <v>1</v>
      </c>
      <c r="F61" s="15" t="s">
        <v>48</v>
      </c>
      <c r="G61" s="17" t="n">
        <v>10</v>
      </c>
      <c r="H61" s="17" t="n">
        <v>25</v>
      </c>
      <c r="I61" s="18" t="n">
        <f aca="false">E61*G61</f>
        <v>10</v>
      </c>
      <c r="J61" s="18" t="n">
        <f aca="false">E61*H61</f>
        <v>25</v>
      </c>
      <c r="K61" s="19"/>
      <c r="L61" s="20"/>
      <c r="M61" s="18" t="str">
        <f aca="false">IF(L61="","",E61*L61)</f>
        <v/>
      </c>
      <c r="N61" s="19" t="s">
        <v>20</v>
      </c>
      <c r="O61" s="15" t="n">
        <v>4</v>
      </c>
      <c r="P61" s="15"/>
    </row>
    <row r="62" customFormat="false" ht="15" hidden="false" customHeight="false" outlineLevel="0" collapsed="false">
      <c r="A62" s="15" t="s">
        <v>255</v>
      </c>
      <c r="B62" s="15" t="s">
        <v>11</v>
      </c>
      <c r="C62" s="15" t="s">
        <v>256</v>
      </c>
      <c r="D62" s="15" t="s">
        <v>257</v>
      </c>
      <c r="E62" s="16" t="n">
        <v>1</v>
      </c>
      <c r="F62" s="15" t="s">
        <v>48</v>
      </c>
      <c r="G62" s="17" t="n">
        <v>8</v>
      </c>
      <c r="H62" s="17" t="n">
        <v>20</v>
      </c>
      <c r="I62" s="18" t="n">
        <f aca="false">E62*G62</f>
        <v>8</v>
      </c>
      <c r="J62" s="18" t="n">
        <f aca="false">E62*H62</f>
        <v>20</v>
      </c>
      <c r="K62" s="19"/>
      <c r="L62" s="20"/>
      <c r="M62" s="18" t="str">
        <f aca="false">IF(L62="","",E62*L62)</f>
        <v/>
      </c>
      <c r="N62" s="19" t="s">
        <v>20</v>
      </c>
      <c r="O62" s="15" t="n">
        <v>4</v>
      </c>
      <c r="P62" s="15"/>
    </row>
    <row r="63" customFormat="false" ht="15" hidden="false" customHeight="false" outlineLevel="0" collapsed="false">
      <c r="A63" s="15" t="s">
        <v>258</v>
      </c>
      <c r="B63" s="15" t="s">
        <v>11</v>
      </c>
      <c r="C63" s="15" t="s">
        <v>259</v>
      </c>
      <c r="D63" s="15" t="s">
        <v>260</v>
      </c>
      <c r="E63" s="16" t="n">
        <v>1</v>
      </c>
      <c r="F63" s="15" t="s">
        <v>48</v>
      </c>
      <c r="G63" s="17" t="n">
        <v>8</v>
      </c>
      <c r="H63" s="17" t="n">
        <v>15</v>
      </c>
      <c r="I63" s="18" t="n">
        <f aca="false">E63*G63</f>
        <v>8</v>
      </c>
      <c r="J63" s="18" t="n">
        <f aca="false">E63*H63</f>
        <v>15</v>
      </c>
      <c r="K63" s="19"/>
      <c r="L63" s="20"/>
      <c r="M63" s="18" t="str">
        <f aca="false">IF(L63="","",E63*L63)</f>
        <v/>
      </c>
      <c r="N63" s="19" t="s">
        <v>20</v>
      </c>
      <c r="O63" s="15" t="n">
        <v>4</v>
      </c>
      <c r="P63" s="15"/>
    </row>
    <row r="64" customFormat="false" ht="15" hidden="false" customHeight="false" outlineLevel="0" collapsed="false">
      <c r="A64" s="15" t="s">
        <v>261</v>
      </c>
      <c r="B64" s="15" t="s">
        <v>11</v>
      </c>
      <c r="C64" s="15" t="s">
        <v>262</v>
      </c>
      <c r="D64" s="15" t="s">
        <v>263</v>
      </c>
      <c r="E64" s="16" t="n">
        <v>1</v>
      </c>
      <c r="F64" s="15" t="s">
        <v>48</v>
      </c>
      <c r="G64" s="17" t="n">
        <v>8</v>
      </c>
      <c r="H64" s="17" t="n">
        <v>15</v>
      </c>
      <c r="I64" s="18" t="n">
        <f aca="false">E64*G64</f>
        <v>8</v>
      </c>
      <c r="J64" s="18" t="n">
        <f aca="false">E64*H64</f>
        <v>15</v>
      </c>
      <c r="K64" s="19"/>
      <c r="L64" s="20"/>
      <c r="M64" s="18" t="str">
        <f aca="false">IF(L64="","",E64*L64)</f>
        <v/>
      </c>
      <c r="N64" s="19" t="s">
        <v>20</v>
      </c>
      <c r="O64" s="15" t="n">
        <v>4</v>
      </c>
      <c r="P64" s="15"/>
    </row>
    <row r="65" customFormat="false" ht="15" hidden="false" customHeight="false" outlineLevel="0" collapsed="false">
      <c r="A65" s="15" t="s">
        <v>264</v>
      </c>
      <c r="B65" s="15" t="s">
        <v>11</v>
      </c>
      <c r="C65" s="15" t="s">
        <v>265</v>
      </c>
      <c r="D65" s="15" t="s">
        <v>266</v>
      </c>
      <c r="E65" s="16" t="n">
        <v>8</v>
      </c>
      <c r="F65" s="15" t="s">
        <v>267</v>
      </c>
      <c r="G65" s="17" t="n">
        <v>6</v>
      </c>
      <c r="H65" s="17" t="n">
        <v>15</v>
      </c>
      <c r="I65" s="18" t="n">
        <f aca="false">E65*G65</f>
        <v>48</v>
      </c>
      <c r="J65" s="18" t="n">
        <f aca="false">E65*H65</f>
        <v>120</v>
      </c>
      <c r="K65" s="19"/>
      <c r="L65" s="20"/>
      <c r="M65" s="18" t="str">
        <f aca="false">IF(L65="","",E65*L65)</f>
        <v/>
      </c>
      <c r="N65" s="19" t="s">
        <v>20</v>
      </c>
      <c r="O65" s="15" t="n">
        <v>4</v>
      </c>
      <c r="P65" s="15"/>
    </row>
    <row r="66" customFormat="false" ht="15" hidden="false" customHeight="false" outlineLevel="0" collapsed="false">
      <c r="A66" s="15" t="s">
        <v>268</v>
      </c>
      <c r="B66" s="15" t="s">
        <v>11</v>
      </c>
      <c r="C66" s="15" t="s">
        <v>269</v>
      </c>
      <c r="D66" s="15" t="s">
        <v>91</v>
      </c>
      <c r="E66" s="16" t="n">
        <v>1</v>
      </c>
      <c r="F66" s="15" t="s">
        <v>61</v>
      </c>
      <c r="G66" s="17" t="n">
        <v>10</v>
      </c>
      <c r="H66" s="17" t="n">
        <v>20</v>
      </c>
      <c r="I66" s="18" t="n">
        <f aca="false">E66*G66</f>
        <v>10</v>
      </c>
      <c r="J66" s="18" t="n">
        <f aca="false">E66*H66</f>
        <v>20</v>
      </c>
      <c r="K66" s="19"/>
      <c r="L66" s="20"/>
      <c r="M66" s="18" t="str">
        <f aca="false">IF(L66="","",E66*L66)</f>
        <v/>
      </c>
      <c r="N66" s="19" t="s">
        <v>20</v>
      </c>
      <c r="O66" s="15" t="n">
        <v>4</v>
      </c>
      <c r="P66" s="15"/>
    </row>
    <row r="67" customFormat="false" ht="15" hidden="false" customHeight="false" outlineLevel="0" collapsed="false">
      <c r="A67" s="15" t="s">
        <v>270</v>
      </c>
      <c r="B67" s="15" t="s">
        <v>11</v>
      </c>
      <c r="C67" s="15" t="s">
        <v>271</v>
      </c>
      <c r="D67" s="15" t="s">
        <v>272</v>
      </c>
      <c r="E67" s="16" t="n">
        <v>1</v>
      </c>
      <c r="F67" s="15" t="s">
        <v>61</v>
      </c>
      <c r="G67" s="17" t="n">
        <v>20</v>
      </c>
      <c r="H67" s="17" t="n">
        <v>40</v>
      </c>
      <c r="I67" s="18" t="n">
        <f aca="false">E67*G67</f>
        <v>20</v>
      </c>
      <c r="J67" s="18" t="n">
        <f aca="false">E67*H67</f>
        <v>40</v>
      </c>
      <c r="K67" s="19"/>
      <c r="L67" s="20"/>
      <c r="M67" s="18" t="str">
        <f aca="false">IF(L67="","",E67*L67)</f>
        <v/>
      </c>
      <c r="N67" s="19" t="s">
        <v>20</v>
      </c>
      <c r="O67" s="15" t="n">
        <v>4</v>
      </c>
      <c r="P67" s="15"/>
    </row>
    <row r="68" customFormat="false" ht="15" hidden="false" customHeight="false" outlineLevel="0" collapsed="false">
      <c r="A68" s="15" t="s">
        <v>273</v>
      </c>
      <c r="B68" s="15" t="s">
        <v>11</v>
      </c>
      <c r="C68" s="15" t="s">
        <v>274</v>
      </c>
      <c r="D68" s="15" t="s">
        <v>275</v>
      </c>
      <c r="E68" s="16" t="n">
        <v>1</v>
      </c>
      <c r="F68" s="15" t="s">
        <v>61</v>
      </c>
      <c r="G68" s="17" t="n">
        <v>5</v>
      </c>
      <c r="H68" s="17" t="n">
        <v>15</v>
      </c>
      <c r="I68" s="18" t="n">
        <f aca="false">E68*G68</f>
        <v>5</v>
      </c>
      <c r="J68" s="18" t="n">
        <f aca="false">E68*H68</f>
        <v>15</v>
      </c>
      <c r="K68" s="19"/>
      <c r="L68" s="20"/>
      <c r="M68" s="18" t="str">
        <f aca="false">IF(L68="","",E68*L68)</f>
        <v/>
      </c>
      <c r="N68" s="19" t="s">
        <v>20</v>
      </c>
      <c r="O68" s="15" t="n">
        <v>4</v>
      </c>
      <c r="P68" s="15"/>
    </row>
    <row r="69" customFormat="false" ht="15" hidden="false" customHeight="false" outlineLevel="0" collapsed="false">
      <c r="A69" s="15" t="s">
        <v>276</v>
      </c>
      <c r="B69" s="15" t="s">
        <v>11</v>
      </c>
      <c r="C69" s="15" t="s">
        <v>277</v>
      </c>
      <c r="D69" s="15" t="s">
        <v>278</v>
      </c>
      <c r="E69" s="16" t="n">
        <v>1</v>
      </c>
      <c r="F69" s="15" t="s">
        <v>48</v>
      </c>
      <c r="G69" s="17" t="n">
        <v>5</v>
      </c>
      <c r="H69" s="17" t="n">
        <v>12</v>
      </c>
      <c r="I69" s="18" t="n">
        <f aca="false">E69*G69</f>
        <v>5</v>
      </c>
      <c r="J69" s="18" t="n">
        <f aca="false">E69*H69</f>
        <v>12</v>
      </c>
      <c r="K69" s="19"/>
      <c r="L69" s="20"/>
      <c r="M69" s="18" t="str">
        <f aca="false">IF(L69="","",E69*L69)</f>
        <v/>
      </c>
      <c r="N69" s="19" t="s">
        <v>20</v>
      </c>
      <c r="O69" s="15" t="n">
        <v>4</v>
      </c>
      <c r="P69" s="15"/>
    </row>
    <row r="70" customFormat="false" ht="23.85" hidden="false" customHeight="false" outlineLevel="0" collapsed="false">
      <c r="A70" s="15" t="s">
        <v>279</v>
      </c>
      <c r="B70" s="15" t="s">
        <v>12</v>
      </c>
      <c r="C70" s="15" t="s">
        <v>280</v>
      </c>
      <c r="D70" s="15" t="s">
        <v>281</v>
      </c>
      <c r="E70" s="16" t="n">
        <v>1</v>
      </c>
      <c r="F70" s="15" t="s">
        <v>61</v>
      </c>
      <c r="G70" s="17" t="n">
        <v>100</v>
      </c>
      <c r="H70" s="17" t="n">
        <v>200</v>
      </c>
      <c r="I70" s="18" t="n">
        <f aca="false">E70*G70</f>
        <v>100</v>
      </c>
      <c r="J70" s="18" t="n">
        <f aca="false">E70*H70</f>
        <v>200</v>
      </c>
      <c r="K70" s="19"/>
      <c r="L70" s="20"/>
      <c r="M70" s="18" t="str">
        <f aca="false">IF(L70="","",E70*L70)</f>
        <v/>
      </c>
      <c r="N70" s="19" t="s">
        <v>20</v>
      </c>
      <c r="O70" s="15" t="n">
        <v>4</v>
      </c>
      <c r="P70" s="15"/>
    </row>
    <row r="71" customFormat="false" ht="15" hidden="false" customHeight="false" outlineLevel="0" collapsed="false">
      <c r="A71" s="15" t="s">
        <v>282</v>
      </c>
      <c r="B71" s="15" t="s">
        <v>12</v>
      </c>
      <c r="C71" s="15" t="s">
        <v>283</v>
      </c>
      <c r="D71" s="15" t="s">
        <v>284</v>
      </c>
      <c r="E71" s="16" t="n">
        <v>1</v>
      </c>
      <c r="F71" s="15" t="s">
        <v>48</v>
      </c>
      <c r="G71" s="17" t="n">
        <v>20</v>
      </c>
      <c r="H71" s="17" t="n">
        <v>40</v>
      </c>
      <c r="I71" s="18" t="n">
        <f aca="false">E71*G71</f>
        <v>20</v>
      </c>
      <c r="J71" s="18" t="n">
        <f aca="false">E71*H71</f>
        <v>40</v>
      </c>
      <c r="K71" s="19"/>
      <c r="L71" s="20"/>
      <c r="M71" s="18" t="str">
        <f aca="false">IF(L71="","",E71*L71)</f>
        <v/>
      </c>
      <c r="N71" s="19" t="s">
        <v>20</v>
      </c>
      <c r="O71" s="15" t="n">
        <v>4</v>
      </c>
      <c r="P71" s="15"/>
    </row>
    <row r="72" customFormat="false" ht="15" hidden="false" customHeight="false" outlineLevel="0" collapsed="false">
      <c r="A72" s="15" t="s">
        <v>285</v>
      </c>
      <c r="B72" s="15" t="s">
        <v>12</v>
      </c>
      <c r="C72" s="15" t="s">
        <v>286</v>
      </c>
      <c r="D72" s="15" t="s">
        <v>287</v>
      </c>
      <c r="E72" s="16" t="n">
        <v>1</v>
      </c>
      <c r="F72" s="15" t="s">
        <v>61</v>
      </c>
      <c r="G72" s="17" t="n">
        <v>30</v>
      </c>
      <c r="H72" s="17" t="n">
        <v>60</v>
      </c>
      <c r="I72" s="18" t="n">
        <f aca="false">E72*G72</f>
        <v>30</v>
      </c>
      <c r="J72" s="18" t="n">
        <f aca="false">E72*H72</f>
        <v>60</v>
      </c>
      <c r="K72" s="19"/>
      <c r="L72" s="20"/>
      <c r="M72" s="18" t="str">
        <f aca="false">IF(L72="","",E72*L72)</f>
        <v/>
      </c>
      <c r="N72" s="19" t="s">
        <v>20</v>
      </c>
      <c r="O72" s="15" t="n">
        <v>4</v>
      </c>
      <c r="P72" s="15"/>
    </row>
    <row r="73" customFormat="false" ht="15" hidden="false" customHeight="false" outlineLevel="0" collapsed="false">
      <c r="A73" s="15" t="s">
        <v>288</v>
      </c>
      <c r="B73" s="15" t="s">
        <v>12</v>
      </c>
      <c r="C73" s="15" t="s">
        <v>289</v>
      </c>
      <c r="D73" s="15" t="s">
        <v>290</v>
      </c>
      <c r="E73" s="16" t="n">
        <v>1</v>
      </c>
      <c r="F73" s="15" t="s">
        <v>61</v>
      </c>
      <c r="G73" s="17" t="n">
        <v>100</v>
      </c>
      <c r="H73" s="17" t="n">
        <v>200</v>
      </c>
      <c r="I73" s="18" t="n">
        <f aca="false">E73*G73</f>
        <v>100</v>
      </c>
      <c r="J73" s="18" t="n">
        <f aca="false">E73*H73</f>
        <v>200</v>
      </c>
      <c r="K73" s="19"/>
      <c r="L73" s="20"/>
      <c r="M73" s="18" t="str">
        <f aca="false">IF(L73="","",E73*L73)</f>
        <v/>
      </c>
      <c r="N73" s="19" t="s">
        <v>20</v>
      </c>
      <c r="O73" s="15" t="n">
        <v>4</v>
      </c>
      <c r="P73" s="15"/>
    </row>
    <row r="74" customFormat="false" ht="15" hidden="false" customHeight="false" outlineLevel="0" collapsed="false">
      <c r="A74" s="15" t="s">
        <v>291</v>
      </c>
      <c r="B74" s="15" t="s">
        <v>12</v>
      </c>
      <c r="C74" s="15" t="s">
        <v>292</v>
      </c>
      <c r="D74" s="15" t="s">
        <v>293</v>
      </c>
      <c r="E74" s="16" t="n">
        <v>1</v>
      </c>
      <c r="F74" s="15" t="s">
        <v>56</v>
      </c>
      <c r="G74" s="17" t="n">
        <v>30</v>
      </c>
      <c r="H74" s="17" t="n">
        <v>60</v>
      </c>
      <c r="I74" s="18" t="n">
        <f aca="false">E74*G74</f>
        <v>30</v>
      </c>
      <c r="J74" s="18" t="n">
        <f aca="false">E74*H74</f>
        <v>60</v>
      </c>
      <c r="K74" s="19"/>
      <c r="L74" s="20"/>
      <c r="M74" s="18" t="str">
        <f aca="false">IF(L74="","",E74*L74)</f>
        <v/>
      </c>
      <c r="N74" s="19" t="s">
        <v>20</v>
      </c>
      <c r="O74" s="15" t="n">
        <v>4</v>
      </c>
      <c r="P74" s="15"/>
    </row>
    <row r="75" customFormat="false" ht="15" hidden="false" customHeight="false" outlineLevel="0" collapsed="false">
      <c r="A75" s="15" t="s">
        <v>294</v>
      </c>
      <c r="B75" s="15" t="s">
        <v>12</v>
      </c>
      <c r="C75" s="15" t="s">
        <v>295</v>
      </c>
      <c r="D75" s="15" t="s">
        <v>296</v>
      </c>
      <c r="E75" s="16" t="n">
        <v>1</v>
      </c>
      <c r="F75" s="15" t="s">
        <v>48</v>
      </c>
      <c r="G75" s="17" t="n">
        <v>40</v>
      </c>
      <c r="H75" s="17" t="n">
        <v>100</v>
      </c>
      <c r="I75" s="18" t="n">
        <f aca="false">E75*G75</f>
        <v>40</v>
      </c>
      <c r="J75" s="18" t="n">
        <f aca="false">E75*H75</f>
        <v>100</v>
      </c>
      <c r="K75" s="19"/>
      <c r="L75" s="20"/>
      <c r="M75" s="18" t="str">
        <f aca="false">IF(L75="","",E75*L75)</f>
        <v/>
      </c>
      <c r="N75" s="19" t="s">
        <v>20</v>
      </c>
      <c r="O75" s="15" t="n">
        <v>4</v>
      </c>
      <c r="P75" s="15"/>
    </row>
    <row r="76" customFormat="false" ht="15" hidden="false" customHeight="false" outlineLevel="0" collapsed="false">
      <c r="A76" s="15" t="s">
        <v>297</v>
      </c>
      <c r="B76" s="15" t="s">
        <v>12</v>
      </c>
      <c r="C76" s="15" t="s">
        <v>298</v>
      </c>
      <c r="D76" s="15" t="s">
        <v>299</v>
      </c>
      <c r="E76" s="16" t="n">
        <v>1</v>
      </c>
      <c r="F76" s="15" t="s">
        <v>48</v>
      </c>
      <c r="G76" s="17" t="n">
        <v>20</v>
      </c>
      <c r="H76" s="17" t="n">
        <v>50</v>
      </c>
      <c r="I76" s="18" t="n">
        <f aca="false">E76*G76</f>
        <v>20</v>
      </c>
      <c r="J76" s="18" t="n">
        <f aca="false">E76*H76</f>
        <v>50</v>
      </c>
      <c r="K76" s="19"/>
      <c r="L76" s="20"/>
      <c r="M76" s="18" t="str">
        <f aca="false">IF(L76="","",E76*L76)</f>
        <v/>
      </c>
      <c r="N76" s="19" t="s">
        <v>20</v>
      </c>
      <c r="O76" s="15" t="n">
        <v>4</v>
      </c>
      <c r="P76" s="15"/>
    </row>
    <row r="77" customFormat="false" ht="15" hidden="false" customHeight="false" outlineLevel="0" collapsed="false">
      <c r="A77" s="15" t="s">
        <v>300</v>
      </c>
      <c r="B77" s="15" t="s">
        <v>12</v>
      </c>
      <c r="C77" s="15" t="s">
        <v>301</v>
      </c>
      <c r="D77" s="15" t="s">
        <v>302</v>
      </c>
      <c r="E77" s="16" t="n">
        <v>2</v>
      </c>
      <c r="F77" s="15" t="s">
        <v>48</v>
      </c>
      <c r="G77" s="17" t="n">
        <v>15</v>
      </c>
      <c r="H77" s="17" t="n">
        <v>30</v>
      </c>
      <c r="I77" s="18" t="n">
        <f aca="false">E77*G77</f>
        <v>30</v>
      </c>
      <c r="J77" s="18" t="n">
        <f aca="false">E77*H77</f>
        <v>60</v>
      </c>
      <c r="K77" s="19"/>
      <c r="L77" s="20"/>
      <c r="M77" s="18" t="str">
        <f aca="false">IF(L77="","",E77*L77)</f>
        <v/>
      </c>
      <c r="N77" s="19" t="s">
        <v>20</v>
      </c>
      <c r="O77" s="15" t="n">
        <v>4</v>
      </c>
      <c r="P77" s="15"/>
    </row>
    <row r="78" customFormat="false" ht="15" hidden="false" customHeight="false" outlineLevel="0" collapsed="false">
      <c r="A78" s="15" t="s">
        <v>303</v>
      </c>
      <c r="B78" s="15" t="s">
        <v>12</v>
      </c>
      <c r="C78" s="15" t="s">
        <v>304</v>
      </c>
      <c r="D78" s="15" t="s">
        <v>305</v>
      </c>
      <c r="E78" s="16" t="n">
        <v>1</v>
      </c>
      <c r="F78" s="15" t="s">
        <v>48</v>
      </c>
      <c r="G78" s="17" t="n">
        <v>60</v>
      </c>
      <c r="H78" s="17" t="n">
        <v>150</v>
      </c>
      <c r="I78" s="18" t="n">
        <f aca="false">E78*G78</f>
        <v>60</v>
      </c>
      <c r="J78" s="18" t="n">
        <f aca="false">E78*H78</f>
        <v>150</v>
      </c>
      <c r="K78" s="19"/>
      <c r="L78" s="20"/>
      <c r="M78" s="18" t="str">
        <f aca="false">IF(L78="","",E78*L78)</f>
        <v/>
      </c>
      <c r="N78" s="19" t="s">
        <v>20</v>
      </c>
      <c r="O78" s="15" t="n">
        <v>4</v>
      </c>
      <c r="P78" s="15"/>
    </row>
    <row r="79" customFormat="false" ht="23.85" hidden="false" customHeight="false" outlineLevel="0" collapsed="false">
      <c r="A79" s="15" t="s">
        <v>306</v>
      </c>
      <c r="B79" s="15" t="s">
        <v>12</v>
      </c>
      <c r="C79" s="15" t="s">
        <v>307</v>
      </c>
      <c r="D79" s="15" t="s">
        <v>308</v>
      </c>
      <c r="E79" s="16" t="n">
        <v>1</v>
      </c>
      <c r="F79" s="15" t="s">
        <v>48</v>
      </c>
      <c r="G79" s="17" t="n">
        <v>15</v>
      </c>
      <c r="H79" s="17" t="n">
        <v>40</v>
      </c>
      <c r="I79" s="18" t="n">
        <f aca="false">E79*G79</f>
        <v>15</v>
      </c>
      <c r="J79" s="18" t="n">
        <f aca="false">E79*H79</f>
        <v>40</v>
      </c>
      <c r="K79" s="19"/>
      <c r="L79" s="20"/>
      <c r="M79" s="18" t="str">
        <f aca="false">IF(L79="","",E79*L79)</f>
        <v/>
      </c>
      <c r="N79" s="19" t="s">
        <v>20</v>
      </c>
      <c r="O79" s="15" t="n">
        <v>3</v>
      </c>
      <c r="P79" s="15"/>
    </row>
    <row r="80" customFormat="false" ht="15" hidden="false" customHeight="false" outlineLevel="0" collapsed="false">
      <c r="A80" s="15" t="s">
        <v>309</v>
      </c>
      <c r="B80" s="15" t="s">
        <v>12</v>
      </c>
      <c r="C80" s="15" t="s">
        <v>310</v>
      </c>
      <c r="D80" s="15" t="s">
        <v>311</v>
      </c>
      <c r="E80" s="16" t="n">
        <v>1</v>
      </c>
      <c r="F80" s="15" t="s">
        <v>48</v>
      </c>
      <c r="G80" s="17" t="n">
        <v>40</v>
      </c>
      <c r="H80" s="17" t="n">
        <v>80</v>
      </c>
      <c r="I80" s="18" t="n">
        <f aca="false">E80*G80</f>
        <v>40</v>
      </c>
      <c r="J80" s="18" t="n">
        <f aca="false">E80*H80</f>
        <v>80</v>
      </c>
      <c r="K80" s="19"/>
      <c r="L80" s="20"/>
      <c r="M80" s="18" t="str">
        <f aca="false">IF(L80="","",E80*L80)</f>
        <v/>
      </c>
      <c r="N80" s="19" t="s">
        <v>20</v>
      </c>
      <c r="O80" s="15" t="n">
        <v>5</v>
      </c>
      <c r="P80" s="15"/>
    </row>
    <row r="81" customFormat="false" ht="15" hidden="false" customHeight="false" outlineLevel="0" collapsed="false">
      <c r="A81" s="15" t="s">
        <v>312</v>
      </c>
      <c r="B81" s="15" t="s">
        <v>12</v>
      </c>
      <c r="C81" s="15" t="s">
        <v>313</v>
      </c>
      <c r="D81" s="15" t="s">
        <v>314</v>
      </c>
      <c r="E81" s="16" t="n">
        <v>1</v>
      </c>
      <c r="F81" s="15" t="s">
        <v>48</v>
      </c>
      <c r="G81" s="17" t="n">
        <v>20</v>
      </c>
      <c r="H81" s="17" t="n">
        <v>50</v>
      </c>
      <c r="I81" s="18" t="n">
        <f aca="false">E81*G81</f>
        <v>20</v>
      </c>
      <c r="J81" s="18" t="n">
        <f aca="false">E81*H81</f>
        <v>50</v>
      </c>
      <c r="K81" s="19"/>
      <c r="L81" s="20"/>
      <c r="M81" s="18" t="str">
        <f aca="false">IF(L81="","",E81*L81)</f>
        <v/>
      </c>
      <c r="N81" s="19" t="s">
        <v>20</v>
      </c>
      <c r="O81" s="15" t="n">
        <v>5</v>
      </c>
      <c r="P81" s="15"/>
    </row>
    <row r="82" customFormat="false" ht="15" hidden="false" customHeight="false" outlineLevel="0" collapsed="false">
      <c r="A82" s="15" t="s">
        <v>315</v>
      </c>
      <c r="B82" s="15" t="s">
        <v>12</v>
      </c>
      <c r="C82" s="15" t="s">
        <v>316</v>
      </c>
      <c r="D82" s="15" t="s">
        <v>317</v>
      </c>
      <c r="E82" s="16" t="n">
        <v>1</v>
      </c>
      <c r="F82" s="15" t="s">
        <v>48</v>
      </c>
      <c r="G82" s="17" t="n">
        <v>10</v>
      </c>
      <c r="H82" s="17" t="n">
        <v>20</v>
      </c>
      <c r="I82" s="18" t="n">
        <f aca="false">E82*G82</f>
        <v>10</v>
      </c>
      <c r="J82" s="18" t="n">
        <f aca="false">E82*H82</f>
        <v>20</v>
      </c>
      <c r="K82" s="19"/>
      <c r="L82" s="20"/>
      <c r="M82" s="18" t="str">
        <f aca="false">IF(L82="","",E82*L82)</f>
        <v/>
      </c>
      <c r="N82" s="19" t="s">
        <v>20</v>
      </c>
      <c r="O82" s="15" t="n">
        <v>5</v>
      </c>
      <c r="P82" s="15"/>
    </row>
    <row r="83" customFormat="false" ht="15" hidden="false" customHeight="false" outlineLevel="0" collapsed="false">
      <c r="A83" s="15" t="s">
        <v>318</v>
      </c>
      <c r="B83" s="15" t="s">
        <v>13</v>
      </c>
      <c r="C83" s="15" t="s">
        <v>319</v>
      </c>
      <c r="D83" s="15" t="s">
        <v>320</v>
      </c>
      <c r="E83" s="16" t="n">
        <v>2</v>
      </c>
      <c r="F83" s="15" t="s">
        <v>48</v>
      </c>
      <c r="G83" s="17" t="n">
        <v>20</v>
      </c>
      <c r="H83" s="17" t="n">
        <v>40</v>
      </c>
      <c r="I83" s="18" t="n">
        <f aca="false">E83*G83</f>
        <v>40</v>
      </c>
      <c r="J83" s="18" t="n">
        <f aca="false">E83*H83</f>
        <v>80</v>
      </c>
      <c r="K83" s="19"/>
      <c r="L83" s="20"/>
      <c r="M83" s="18" t="str">
        <f aca="false">IF(L83="","",E83*L83)</f>
        <v/>
      </c>
      <c r="N83" s="19" t="s">
        <v>20</v>
      </c>
      <c r="O83" s="15" t="n">
        <v>5</v>
      </c>
      <c r="P83" s="15"/>
    </row>
    <row r="84" customFormat="false" ht="23.85" hidden="false" customHeight="false" outlineLevel="0" collapsed="false">
      <c r="A84" s="15" t="s">
        <v>321</v>
      </c>
      <c r="B84" s="15" t="s">
        <v>13</v>
      </c>
      <c r="C84" s="15" t="s">
        <v>322</v>
      </c>
      <c r="D84" s="15" t="s">
        <v>323</v>
      </c>
      <c r="E84" s="16" t="n">
        <v>2</v>
      </c>
      <c r="F84" s="15" t="s">
        <v>48</v>
      </c>
      <c r="G84" s="17" t="n">
        <v>0</v>
      </c>
      <c r="H84" s="17" t="n">
        <v>0</v>
      </c>
      <c r="I84" s="18" t="n">
        <f aca="false">E84*G84</f>
        <v>0</v>
      </c>
      <c r="J84" s="18" t="n">
        <f aca="false">E84*H84</f>
        <v>0</v>
      </c>
      <c r="K84" s="19"/>
      <c r="L84" s="20"/>
      <c r="M84" s="18" t="str">
        <f aca="false">IF(L84="","",E84*L84)</f>
        <v/>
      </c>
      <c r="N84" s="19" t="s">
        <v>20</v>
      </c>
      <c r="O84" s="15" t="n">
        <v>1</v>
      </c>
      <c r="P84" s="15" t="s">
        <v>324</v>
      </c>
    </row>
    <row r="85" customFormat="false" ht="15" hidden="false" customHeight="false" outlineLevel="0" collapsed="false">
      <c r="A85" s="15" t="s">
        <v>325</v>
      </c>
      <c r="B85" s="15" t="s">
        <v>13</v>
      </c>
      <c r="C85" s="15" t="s">
        <v>326</v>
      </c>
      <c r="D85" s="15" t="s">
        <v>327</v>
      </c>
      <c r="E85" s="16" t="n">
        <v>1</v>
      </c>
      <c r="F85" s="15" t="s">
        <v>48</v>
      </c>
      <c r="G85" s="17" t="n">
        <v>0</v>
      </c>
      <c r="H85" s="17" t="n">
        <v>0</v>
      </c>
      <c r="I85" s="18" t="n">
        <f aca="false">E85*G85</f>
        <v>0</v>
      </c>
      <c r="J85" s="18" t="n">
        <f aca="false">E85*H85</f>
        <v>0</v>
      </c>
      <c r="K85" s="19"/>
      <c r="L85" s="20"/>
      <c r="M85" s="18" t="str">
        <f aca="false">IF(L85="","",E85*L85)</f>
        <v/>
      </c>
      <c r="N85" s="19" t="s">
        <v>20</v>
      </c>
      <c r="O85" s="15" t="n">
        <v>1</v>
      </c>
      <c r="P85" s="15" t="s">
        <v>324</v>
      </c>
    </row>
    <row r="86" customFormat="false" ht="23.85" hidden="false" customHeight="false" outlineLevel="0" collapsed="false">
      <c r="A86" s="15" t="s">
        <v>328</v>
      </c>
      <c r="B86" s="15" t="s">
        <v>14</v>
      </c>
      <c r="C86" s="15" t="s">
        <v>329</v>
      </c>
      <c r="D86" s="15" t="s">
        <v>330</v>
      </c>
      <c r="E86" s="16" t="n">
        <v>1</v>
      </c>
      <c r="F86" s="15" t="s">
        <v>61</v>
      </c>
      <c r="G86" s="17" t="n">
        <v>30</v>
      </c>
      <c r="H86" s="17" t="n">
        <v>80</v>
      </c>
      <c r="I86" s="18" t="n">
        <f aca="false">E86*G86</f>
        <v>30</v>
      </c>
      <c r="J86" s="18" t="n">
        <f aca="false">E86*H86</f>
        <v>80</v>
      </c>
      <c r="K86" s="19"/>
      <c r="L86" s="20"/>
      <c r="M86" s="18" t="str">
        <f aca="false">IF(L86="","",E86*L86)</f>
        <v/>
      </c>
      <c r="N86" s="19" t="s">
        <v>20</v>
      </c>
      <c r="O86" s="15" t="n">
        <v>3</v>
      </c>
      <c r="P86" s="15"/>
    </row>
    <row r="87" customFormat="false" ht="23.85" hidden="false" customHeight="false" outlineLevel="0" collapsed="false">
      <c r="A87" s="15" t="s">
        <v>331</v>
      </c>
      <c r="B87" s="15" t="s">
        <v>14</v>
      </c>
      <c r="C87" s="15" t="s">
        <v>332</v>
      </c>
      <c r="D87" s="15" t="s">
        <v>333</v>
      </c>
      <c r="E87" s="16" t="n">
        <v>1</v>
      </c>
      <c r="F87" s="15" t="s">
        <v>48</v>
      </c>
      <c r="G87" s="17" t="n">
        <v>40</v>
      </c>
      <c r="H87" s="17" t="n">
        <v>120</v>
      </c>
      <c r="I87" s="18" t="n">
        <f aca="false">E87*G87</f>
        <v>40</v>
      </c>
      <c r="J87" s="18" t="n">
        <f aca="false">E87*H87</f>
        <v>120</v>
      </c>
      <c r="K87" s="19"/>
      <c r="L87" s="20"/>
      <c r="M87" s="18" t="str">
        <f aca="false">IF(L87="","",E87*L87)</f>
        <v/>
      </c>
      <c r="N87" s="19" t="s">
        <v>20</v>
      </c>
      <c r="O87" s="15" t="n">
        <v>3</v>
      </c>
      <c r="P87" s="15" t="s">
        <v>334</v>
      </c>
    </row>
    <row r="88" customFormat="false" ht="15" hidden="false" customHeight="false" outlineLevel="0" collapsed="false">
      <c r="A88" s="15" t="s">
        <v>335</v>
      </c>
      <c r="B88" s="15" t="s">
        <v>14</v>
      </c>
      <c r="C88" s="15" t="s">
        <v>336</v>
      </c>
      <c r="D88" s="15" t="s">
        <v>337</v>
      </c>
      <c r="E88" s="16" t="n">
        <v>1</v>
      </c>
      <c r="F88" s="15" t="s">
        <v>48</v>
      </c>
      <c r="G88" s="17" t="n">
        <v>0</v>
      </c>
      <c r="H88" s="17" t="n">
        <v>0</v>
      </c>
      <c r="I88" s="18" t="n">
        <f aca="false">E88*G88</f>
        <v>0</v>
      </c>
      <c r="J88" s="18" t="n">
        <f aca="false">E88*H88</f>
        <v>0</v>
      </c>
      <c r="K88" s="19"/>
      <c r="L88" s="20"/>
      <c r="M88" s="18" t="str">
        <f aca="false">IF(L88="","",E88*L88)</f>
        <v/>
      </c>
      <c r="N88" s="19" t="s">
        <v>20</v>
      </c>
      <c r="O88" s="15" t="n">
        <v>3</v>
      </c>
      <c r="P88" s="15" t="s">
        <v>338</v>
      </c>
    </row>
    <row r="89" customFormat="false" ht="15" hidden="false" customHeight="false" outlineLevel="0" collapsed="false">
      <c r="A89" s="15" t="s">
        <v>339</v>
      </c>
      <c r="B89" s="15" t="s">
        <v>14</v>
      </c>
      <c r="C89" s="15" t="s">
        <v>340</v>
      </c>
      <c r="D89" s="15" t="s">
        <v>341</v>
      </c>
      <c r="E89" s="16" t="n">
        <v>1</v>
      </c>
      <c r="F89" s="15" t="s">
        <v>48</v>
      </c>
      <c r="G89" s="17" t="n">
        <v>0</v>
      </c>
      <c r="H89" s="17" t="n">
        <v>0</v>
      </c>
      <c r="I89" s="18" t="n">
        <f aca="false">E89*G89</f>
        <v>0</v>
      </c>
      <c r="J89" s="18" t="n">
        <f aca="false">E89*H89</f>
        <v>0</v>
      </c>
      <c r="K89" s="19"/>
      <c r="L89" s="20"/>
      <c r="M89" s="18" t="str">
        <f aca="false">IF(L89="","",E89*L89)</f>
        <v/>
      </c>
      <c r="N89" s="19" t="s">
        <v>20</v>
      </c>
      <c r="O89" s="15" t="n">
        <v>3</v>
      </c>
      <c r="P89" s="15" t="s">
        <v>342</v>
      </c>
    </row>
    <row r="90" customFormat="false" ht="15" hidden="false" customHeight="false" outlineLevel="0" collapsed="false">
      <c r="A90" s="15" t="s">
        <v>343</v>
      </c>
      <c r="B90" s="15" t="s">
        <v>14</v>
      </c>
      <c r="C90" s="15" t="s">
        <v>344</v>
      </c>
      <c r="D90" s="15" t="s">
        <v>345</v>
      </c>
      <c r="E90" s="16" t="n">
        <v>1</v>
      </c>
      <c r="F90" s="15" t="s">
        <v>61</v>
      </c>
      <c r="G90" s="17" t="n">
        <v>0</v>
      </c>
      <c r="H90" s="17" t="n">
        <v>0</v>
      </c>
      <c r="I90" s="18" t="n">
        <f aca="false">E90*G90</f>
        <v>0</v>
      </c>
      <c r="J90" s="18" t="n">
        <f aca="false">E90*H90</f>
        <v>0</v>
      </c>
      <c r="K90" s="19"/>
      <c r="L90" s="20"/>
      <c r="M90" s="18" t="str">
        <f aca="false">IF(L90="","",E90*L90)</f>
        <v/>
      </c>
      <c r="N90" s="19" t="s">
        <v>20</v>
      </c>
      <c r="O90" s="15" t="n">
        <v>3</v>
      </c>
      <c r="P90" s="15" t="s">
        <v>342</v>
      </c>
    </row>
    <row r="91" customFormat="false" ht="15" hidden="false" customHeight="false" outlineLevel="0" collapsed="false">
      <c r="A91" s="15" t="s">
        <v>346</v>
      </c>
      <c r="B91" s="15" t="s">
        <v>14</v>
      </c>
      <c r="C91" s="15" t="s">
        <v>347</v>
      </c>
      <c r="D91" s="15" t="s">
        <v>348</v>
      </c>
      <c r="E91" s="16" t="n">
        <v>1</v>
      </c>
      <c r="F91" s="15" t="s">
        <v>48</v>
      </c>
      <c r="G91" s="17" t="n">
        <v>30</v>
      </c>
      <c r="H91" s="17" t="n">
        <v>80</v>
      </c>
      <c r="I91" s="18" t="n">
        <f aca="false">E91*G91</f>
        <v>30</v>
      </c>
      <c r="J91" s="18" t="n">
        <f aca="false">E91*H91</f>
        <v>80</v>
      </c>
      <c r="K91" s="19"/>
      <c r="L91" s="20"/>
      <c r="M91" s="18" t="str">
        <f aca="false">IF(L91="","",E91*L91)</f>
        <v/>
      </c>
      <c r="N91" s="19" t="s">
        <v>20</v>
      </c>
      <c r="O91" s="15" t="n">
        <v>4</v>
      </c>
      <c r="P91" s="15"/>
    </row>
    <row r="92" customFormat="false" ht="15" hidden="false" customHeight="false" outlineLevel="0" collapsed="false">
      <c r="A92" s="15" t="s">
        <v>349</v>
      </c>
      <c r="B92" s="15" t="s">
        <v>14</v>
      </c>
      <c r="C92" s="15" t="s">
        <v>350</v>
      </c>
      <c r="D92" s="15" t="s">
        <v>351</v>
      </c>
      <c r="E92" s="16" t="n">
        <v>1</v>
      </c>
      <c r="F92" s="15" t="s">
        <v>48</v>
      </c>
      <c r="G92" s="17" t="n">
        <v>40</v>
      </c>
      <c r="H92" s="17" t="n">
        <v>100</v>
      </c>
      <c r="I92" s="18" t="n">
        <f aca="false">E92*G92</f>
        <v>40</v>
      </c>
      <c r="J92" s="18" t="n">
        <f aca="false">E92*H92</f>
        <v>100</v>
      </c>
      <c r="K92" s="19"/>
      <c r="L92" s="20"/>
      <c r="M92" s="18" t="str">
        <f aca="false">IF(L92="","",E92*L92)</f>
        <v/>
      </c>
      <c r="N92" s="19" t="s">
        <v>20</v>
      </c>
      <c r="O92" s="15" t="n">
        <v>4</v>
      </c>
      <c r="P92" s="15"/>
    </row>
    <row r="93" customFormat="false" ht="15" hidden="false" customHeight="false" outlineLevel="0" collapsed="false">
      <c r="A93" s="15" t="s">
        <v>352</v>
      </c>
      <c r="B93" s="15" t="s">
        <v>14</v>
      </c>
      <c r="C93" s="15" t="s">
        <v>353</v>
      </c>
      <c r="D93" s="15" t="s">
        <v>354</v>
      </c>
      <c r="E93" s="16" t="n">
        <v>1</v>
      </c>
      <c r="F93" s="15" t="s">
        <v>48</v>
      </c>
      <c r="G93" s="17" t="n">
        <v>0</v>
      </c>
      <c r="H93" s="17" t="n">
        <v>150</v>
      </c>
      <c r="I93" s="18" t="n">
        <f aca="false">E93*G93</f>
        <v>0</v>
      </c>
      <c r="J93" s="18" t="n">
        <f aca="false">E93*H93</f>
        <v>150</v>
      </c>
      <c r="K93" s="19"/>
      <c r="L93" s="20"/>
      <c r="M93" s="18" t="str">
        <f aca="false">IF(L93="","",E93*L93)</f>
        <v/>
      </c>
      <c r="N93" s="19" t="s">
        <v>20</v>
      </c>
      <c r="O93" s="15" t="n">
        <v>3</v>
      </c>
      <c r="P93" s="15"/>
    </row>
    <row r="94" customFormat="false" ht="15" hidden="false" customHeight="false" outlineLevel="0" collapsed="false">
      <c r="A94" s="15" t="s">
        <v>355</v>
      </c>
      <c r="B94" s="15" t="s">
        <v>14</v>
      </c>
      <c r="C94" s="15" t="s">
        <v>356</v>
      </c>
      <c r="D94" s="15" t="s">
        <v>357</v>
      </c>
      <c r="E94" s="16" t="n">
        <v>1</v>
      </c>
      <c r="F94" s="15" t="s">
        <v>48</v>
      </c>
      <c r="G94" s="17" t="n">
        <v>50</v>
      </c>
      <c r="H94" s="17" t="n">
        <v>200</v>
      </c>
      <c r="I94" s="18" t="n">
        <f aca="false">E94*G94</f>
        <v>50</v>
      </c>
      <c r="J94" s="18" t="n">
        <f aca="false">E94*H94</f>
        <v>200</v>
      </c>
      <c r="K94" s="19"/>
      <c r="L94" s="20"/>
      <c r="M94" s="18" t="str">
        <f aca="false">IF(L94="","",E94*L94)</f>
        <v/>
      </c>
      <c r="N94" s="19" t="s">
        <v>20</v>
      </c>
      <c r="O94" s="15" t="n">
        <v>5</v>
      </c>
      <c r="P94" s="15" t="s">
        <v>358</v>
      </c>
    </row>
    <row r="95" customFormat="false" ht="15" hidden="false" customHeight="false" outlineLevel="0" collapsed="false">
      <c r="A95" s="15" t="s">
        <v>359</v>
      </c>
      <c r="B95" s="15" t="s">
        <v>14</v>
      </c>
      <c r="C95" s="15" t="s">
        <v>360</v>
      </c>
      <c r="D95" s="15" t="s">
        <v>361</v>
      </c>
      <c r="E95" s="16" t="n">
        <v>1</v>
      </c>
      <c r="F95" s="15" t="s">
        <v>48</v>
      </c>
      <c r="G95" s="17" t="n">
        <v>0</v>
      </c>
      <c r="H95" s="17" t="n">
        <v>0</v>
      </c>
      <c r="I95" s="18" t="n">
        <f aca="false">E95*G95</f>
        <v>0</v>
      </c>
      <c r="J95" s="18" t="n">
        <f aca="false">E95*H95</f>
        <v>0</v>
      </c>
      <c r="K95" s="19"/>
      <c r="L95" s="20"/>
      <c r="M95" s="18" t="str">
        <f aca="false">IF(L95="","",E95*L95)</f>
        <v/>
      </c>
      <c r="N95" s="19" t="s">
        <v>20</v>
      </c>
      <c r="O95" s="15" t="n">
        <v>2</v>
      </c>
      <c r="P95" s="15" t="s">
        <v>24</v>
      </c>
    </row>
    <row r="96" customFormat="false" ht="15" hidden="false" customHeight="false" outlineLevel="0" collapsed="false">
      <c r="A96" s="15" t="s">
        <v>362</v>
      </c>
      <c r="B96" s="15" t="s">
        <v>15</v>
      </c>
      <c r="C96" s="15" t="s">
        <v>363</v>
      </c>
      <c r="D96" s="15" t="s">
        <v>364</v>
      </c>
      <c r="E96" s="16" t="n">
        <v>1</v>
      </c>
      <c r="F96" s="15" t="s">
        <v>48</v>
      </c>
      <c r="G96" s="17" t="n">
        <v>40</v>
      </c>
      <c r="H96" s="17" t="n">
        <v>120</v>
      </c>
      <c r="I96" s="18" t="n">
        <f aca="false">E96*G96</f>
        <v>40</v>
      </c>
      <c r="J96" s="18" t="n">
        <f aca="false">E96*H96</f>
        <v>120</v>
      </c>
      <c r="K96" s="19"/>
      <c r="L96" s="20"/>
      <c r="M96" s="18" t="str">
        <f aca="false">IF(L96="","",E96*L96)</f>
        <v/>
      </c>
      <c r="N96" s="19" t="s">
        <v>20</v>
      </c>
      <c r="O96" s="15" t="n">
        <v>1</v>
      </c>
      <c r="P96" s="15" t="s">
        <v>365</v>
      </c>
    </row>
    <row r="97" customFormat="false" ht="15" hidden="false" customHeight="false" outlineLevel="0" collapsed="false">
      <c r="A97" s="15" t="s">
        <v>366</v>
      </c>
      <c r="B97" s="15" t="s">
        <v>15</v>
      </c>
      <c r="C97" s="15" t="s">
        <v>367</v>
      </c>
      <c r="D97" s="15" t="s">
        <v>368</v>
      </c>
      <c r="E97" s="16" t="n">
        <v>1</v>
      </c>
      <c r="F97" s="15" t="s">
        <v>48</v>
      </c>
      <c r="G97" s="17" t="n">
        <v>30</v>
      </c>
      <c r="H97" s="17" t="n">
        <v>80</v>
      </c>
      <c r="I97" s="18" t="n">
        <f aca="false">E97*G97</f>
        <v>30</v>
      </c>
      <c r="J97" s="18" t="n">
        <f aca="false">E97*H97</f>
        <v>80</v>
      </c>
      <c r="K97" s="19"/>
      <c r="L97" s="20"/>
      <c r="M97" s="18" t="str">
        <f aca="false">IF(L97="","",E97*L97)</f>
        <v/>
      </c>
      <c r="N97" s="19" t="s">
        <v>20</v>
      </c>
      <c r="O97" s="15" t="n">
        <v>1</v>
      </c>
      <c r="P97" s="15" t="s">
        <v>369</v>
      </c>
    </row>
    <row r="98" customFormat="false" ht="23.85" hidden="false" customHeight="false" outlineLevel="0" collapsed="false">
      <c r="A98" s="15" t="s">
        <v>370</v>
      </c>
      <c r="B98" s="15" t="s">
        <v>15</v>
      </c>
      <c r="C98" s="15" t="s">
        <v>371</v>
      </c>
      <c r="D98" s="15" t="s">
        <v>372</v>
      </c>
      <c r="E98" s="16" t="n">
        <v>1</v>
      </c>
      <c r="F98" s="15" t="s">
        <v>48</v>
      </c>
      <c r="G98" s="17" t="n">
        <v>10</v>
      </c>
      <c r="H98" s="17" t="n">
        <v>150</v>
      </c>
      <c r="I98" s="18" t="n">
        <f aca="false">E98*G98</f>
        <v>10</v>
      </c>
      <c r="J98" s="18" t="n">
        <f aca="false">E98*H98</f>
        <v>150</v>
      </c>
      <c r="K98" s="19"/>
      <c r="L98" s="20"/>
      <c r="M98" s="18" t="str">
        <f aca="false">IF(L98="","",E98*L98)</f>
        <v/>
      </c>
      <c r="N98" s="19" t="s">
        <v>20</v>
      </c>
      <c r="O98" s="15" t="n">
        <v>1</v>
      </c>
      <c r="P98" s="15"/>
    </row>
    <row r="99" customFormat="false" ht="15" hidden="false" customHeight="false" outlineLevel="0" collapsed="false">
      <c r="A99" s="15" t="s">
        <v>373</v>
      </c>
      <c r="B99" s="15" t="s">
        <v>15</v>
      </c>
      <c r="C99" s="15" t="s">
        <v>374</v>
      </c>
      <c r="D99" s="15" t="s">
        <v>375</v>
      </c>
      <c r="E99" s="16" t="n">
        <v>1</v>
      </c>
      <c r="F99" s="15" t="s">
        <v>56</v>
      </c>
      <c r="G99" s="17" t="n">
        <v>40</v>
      </c>
      <c r="H99" s="17" t="n">
        <v>150</v>
      </c>
      <c r="I99" s="18" t="n">
        <f aca="false">E99*G99</f>
        <v>40</v>
      </c>
      <c r="J99" s="18" t="n">
        <f aca="false">E99*H99</f>
        <v>150</v>
      </c>
      <c r="K99" s="19"/>
      <c r="L99" s="20"/>
      <c r="M99" s="18" t="str">
        <f aca="false">IF(L99="","",E99*L99)</f>
        <v/>
      </c>
      <c r="N99" s="19" t="s">
        <v>20</v>
      </c>
      <c r="O99" s="15" t="n">
        <v>1</v>
      </c>
      <c r="P99" s="15"/>
    </row>
    <row r="100" customFormat="false" ht="15" hidden="false" customHeight="false" outlineLevel="0" collapsed="false">
      <c r="A100" s="15" t="s">
        <v>376</v>
      </c>
      <c r="B100" s="15" t="s">
        <v>15</v>
      </c>
      <c r="C100" s="15" t="s">
        <v>377</v>
      </c>
      <c r="D100" s="15" t="s">
        <v>378</v>
      </c>
      <c r="E100" s="16" t="n">
        <v>1</v>
      </c>
      <c r="F100" s="15" t="s">
        <v>48</v>
      </c>
      <c r="G100" s="17" t="n">
        <v>50</v>
      </c>
      <c r="H100" s="17" t="n">
        <v>150</v>
      </c>
      <c r="I100" s="18" t="n">
        <f aca="false">E100*G100</f>
        <v>50</v>
      </c>
      <c r="J100" s="18" t="n">
        <f aca="false">E100*H100</f>
        <v>150</v>
      </c>
      <c r="K100" s="19"/>
      <c r="L100" s="20"/>
      <c r="M100" s="18" t="str">
        <f aca="false">IF(L100="","",E100*L100)</f>
        <v/>
      </c>
      <c r="N100" s="19" t="s">
        <v>20</v>
      </c>
      <c r="O100" s="15" t="n">
        <v>3</v>
      </c>
      <c r="P100" s="15"/>
    </row>
    <row r="101" customFormat="false" ht="15" hidden="false" customHeight="false" outlineLevel="0" collapsed="false">
      <c r="A101" s="15" t="s">
        <v>379</v>
      </c>
      <c r="B101" s="15" t="s">
        <v>15</v>
      </c>
      <c r="C101" s="15" t="s">
        <v>380</v>
      </c>
      <c r="D101" s="15"/>
      <c r="E101" s="16" t="n">
        <v>1</v>
      </c>
      <c r="F101" s="15" t="s">
        <v>48</v>
      </c>
      <c r="G101" s="17" t="n">
        <v>20</v>
      </c>
      <c r="H101" s="17" t="n">
        <v>60</v>
      </c>
      <c r="I101" s="18" t="n">
        <f aca="false">E101*G101</f>
        <v>20</v>
      </c>
      <c r="J101" s="18" t="n">
        <f aca="false">E101*H101</f>
        <v>60</v>
      </c>
      <c r="K101" s="19"/>
      <c r="L101" s="20"/>
      <c r="M101" s="18" t="str">
        <f aca="false">IF(L101="","",E101*L101)</f>
        <v/>
      </c>
      <c r="N101" s="19" t="s">
        <v>20</v>
      </c>
      <c r="O101" s="15" t="n">
        <v>4</v>
      </c>
      <c r="P101" s="15"/>
    </row>
    <row r="102" customFormat="false" ht="15" hidden="false" customHeight="false" outlineLevel="0" collapsed="false">
      <c r="A102" s="15" t="s">
        <v>381</v>
      </c>
      <c r="B102" s="15" t="s">
        <v>15</v>
      </c>
      <c r="C102" s="15" t="s">
        <v>382</v>
      </c>
      <c r="D102" s="15" t="s">
        <v>383</v>
      </c>
      <c r="E102" s="16" t="n">
        <v>1</v>
      </c>
      <c r="F102" s="15" t="s">
        <v>48</v>
      </c>
      <c r="G102" s="17" t="n">
        <v>0</v>
      </c>
      <c r="H102" s="17" t="n">
        <v>250</v>
      </c>
      <c r="I102" s="18" t="n">
        <f aca="false">E102*G102</f>
        <v>0</v>
      </c>
      <c r="J102" s="18" t="n">
        <f aca="false">E102*H102</f>
        <v>250</v>
      </c>
      <c r="K102" s="19"/>
      <c r="L102" s="20"/>
      <c r="M102" s="18" t="str">
        <f aca="false">IF(L102="","",E102*L102)</f>
        <v/>
      </c>
      <c r="N102" s="19" t="s">
        <v>20</v>
      </c>
      <c r="O102" s="15" t="n">
        <v>4</v>
      </c>
      <c r="P102" s="15"/>
    </row>
    <row r="103" customFormat="false" ht="15" hidden="false" customHeight="false" outlineLevel="0" collapsed="false">
      <c r="A103" s="15" t="s">
        <v>384</v>
      </c>
      <c r="B103" s="15" t="s">
        <v>15</v>
      </c>
      <c r="C103" s="15" t="s">
        <v>385</v>
      </c>
      <c r="D103" s="15" t="s">
        <v>386</v>
      </c>
      <c r="E103" s="16" t="n">
        <v>1</v>
      </c>
      <c r="F103" s="15" t="s">
        <v>48</v>
      </c>
      <c r="G103" s="17" t="n">
        <v>20</v>
      </c>
      <c r="H103" s="17" t="n">
        <v>50</v>
      </c>
      <c r="I103" s="18" t="n">
        <f aca="false">E103*G103</f>
        <v>20</v>
      </c>
      <c r="J103" s="18" t="n">
        <f aca="false">E103*H103</f>
        <v>50</v>
      </c>
      <c r="K103" s="19"/>
      <c r="L103" s="20"/>
      <c r="M103" s="18" t="str">
        <f aca="false">IF(L103="","",E103*L103)</f>
        <v/>
      </c>
      <c r="N103" s="19" t="s">
        <v>20</v>
      </c>
      <c r="O103" s="15" t="n">
        <v>5</v>
      </c>
      <c r="P103" s="15"/>
    </row>
    <row r="104" customFormat="false" ht="15" hidden="false" customHeight="false" outlineLevel="0" collapsed="false">
      <c r="C104" s="10" t="s">
        <v>387</v>
      </c>
      <c r="I104" s="21" t="n">
        <f aca="false">SUM(I2:I103)</f>
        <v>3558.4</v>
      </c>
      <c r="J104" s="21" t="n">
        <f aca="false">SUM(J2:J103)</f>
        <v>8610</v>
      </c>
      <c r="M104" s="21" t="n">
        <f aca="false">SUM(M2:M103)</f>
        <v>0</v>
      </c>
    </row>
  </sheetData>
  <autoFilter ref="A1:P103"/>
  <dataValidations count="2">
    <dataValidation allowBlank="true" errorStyle="stop" operator="between" showDropDown="false" showErrorMessage="false" showInputMessage="false" sqref="N2:N103" type="list">
      <formula1>"A cotizar,Cotizado,Comprado,Recibido,Descartado"</formula1>
      <formula2>0</formula2>
    </dataValidation>
    <dataValidation allowBlank="true" errorStyle="stop" operator="between" showDropDown="false" showErrorMessage="false" showInputMessage="false" sqref="O2:O103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7"/>
    <col collapsed="false" customWidth="true" hidden="false" outlineLevel="0" max="9" min="6" style="0" width="12"/>
    <col collapsed="false" customWidth="true" hidden="false" outlineLevel="0" max="10" min="10" style="0" width="20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48"/>
  </cols>
  <sheetData>
    <row r="1" customFormat="false" ht="30" hidden="false" customHeight="true" outlineLevel="0" collapsed="false">
      <c r="A1" s="14" t="s">
        <v>32</v>
      </c>
      <c r="B1" s="14" t="s">
        <v>388</v>
      </c>
      <c r="C1" s="14" t="s">
        <v>389</v>
      </c>
      <c r="D1" s="14" t="s">
        <v>390</v>
      </c>
      <c r="E1" s="14" t="s">
        <v>35</v>
      </c>
      <c r="F1" s="14" t="s">
        <v>391</v>
      </c>
      <c r="G1" s="14" t="s">
        <v>392</v>
      </c>
      <c r="H1" s="14" t="s">
        <v>4</v>
      </c>
      <c r="I1" s="14" t="s">
        <v>5</v>
      </c>
      <c r="J1" s="14" t="s">
        <v>39</v>
      </c>
      <c r="K1" s="14" t="s">
        <v>393</v>
      </c>
      <c r="L1" s="14" t="s">
        <v>42</v>
      </c>
      <c r="M1" s="14" t="s">
        <v>44</v>
      </c>
    </row>
    <row r="2" customFormat="false" ht="23.85" hidden="false" customHeight="false" outlineLevel="0" collapsed="false">
      <c r="A2" s="15" t="s">
        <v>394</v>
      </c>
      <c r="B2" s="15" t="s">
        <v>395</v>
      </c>
      <c r="C2" s="15" t="s">
        <v>396</v>
      </c>
      <c r="D2" s="15" t="s">
        <v>397</v>
      </c>
      <c r="E2" s="16" t="n">
        <v>2</v>
      </c>
      <c r="F2" s="17" t="n">
        <v>0</v>
      </c>
      <c r="G2" s="17" t="n">
        <v>0</v>
      </c>
      <c r="H2" s="18" t="n">
        <f aca="false">E2*F2</f>
        <v>0</v>
      </c>
      <c r="I2" s="18" t="n">
        <f aca="false">E2*G2</f>
        <v>0</v>
      </c>
      <c r="J2" s="19"/>
      <c r="K2" s="20"/>
      <c r="L2" s="19" t="s">
        <v>20</v>
      </c>
      <c r="M2" s="15" t="s">
        <v>398</v>
      </c>
    </row>
    <row r="3" customFormat="false" ht="15" hidden="false" customHeight="false" outlineLevel="0" collapsed="false">
      <c r="A3" s="15" t="s">
        <v>399</v>
      </c>
      <c r="B3" s="15" t="s">
        <v>400</v>
      </c>
      <c r="C3" s="15" t="s">
        <v>401</v>
      </c>
      <c r="D3" s="15" t="s">
        <v>402</v>
      </c>
      <c r="E3" s="16" t="n">
        <v>2</v>
      </c>
      <c r="F3" s="17" t="n">
        <v>0</v>
      </c>
      <c r="G3" s="17" t="n">
        <v>0</v>
      </c>
      <c r="H3" s="18" t="n">
        <f aca="false">E3*F3</f>
        <v>0</v>
      </c>
      <c r="I3" s="18" t="n">
        <f aca="false">E3*G3</f>
        <v>0</v>
      </c>
      <c r="J3" s="19"/>
      <c r="K3" s="20"/>
      <c r="L3" s="19" t="s">
        <v>20</v>
      </c>
      <c r="M3" s="15" t="s">
        <v>403</v>
      </c>
    </row>
    <row r="4" customFormat="false" ht="15" hidden="false" customHeight="false" outlineLevel="0" collapsed="false">
      <c r="A4" s="15" t="s">
        <v>404</v>
      </c>
      <c r="B4" s="15" t="s">
        <v>405</v>
      </c>
      <c r="C4" s="15" t="s">
        <v>401</v>
      </c>
      <c r="D4" s="15" t="s">
        <v>402</v>
      </c>
      <c r="E4" s="16" t="n">
        <v>1</v>
      </c>
      <c r="F4" s="17" t="n">
        <v>0</v>
      </c>
      <c r="G4" s="17" t="n">
        <v>0</v>
      </c>
      <c r="H4" s="18" t="n">
        <f aca="false">E4*F4</f>
        <v>0</v>
      </c>
      <c r="I4" s="18" t="n">
        <f aca="false">E4*G4</f>
        <v>0</v>
      </c>
      <c r="J4" s="19"/>
      <c r="K4" s="20"/>
      <c r="L4" s="19" t="s">
        <v>20</v>
      </c>
      <c r="M4" s="15" t="s">
        <v>406</v>
      </c>
    </row>
    <row r="5" customFormat="false" ht="15" hidden="false" customHeight="false" outlineLevel="0" collapsed="false">
      <c r="A5" s="15" t="s">
        <v>407</v>
      </c>
      <c r="B5" s="15" t="s">
        <v>408</v>
      </c>
      <c r="C5" s="15" t="s">
        <v>409</v>
      </c>
      <c r="D5" s="15" t="s">
        <v>410</v>
      </c>
      <c r="E5" s="16" t="n">
        <v>1</v>
      </c>
      <c r="F5" s="17" t="n">
        <v>25</v>
      </c>
      <c r="G5" s="17" t="n">
        <v>50</v>
      </c>
      <c r="H5" s="18" t="n">
        <f aca="false">E5*F5</f>
        <v>25</v>
      </c>
      <c r="I5" s="18" t="n">
        <f aca="false">E5*G5</f>
        <v>50</v>
      </c>
      <c r="J5" s="19"/>
      <c r="K5" s="20"/>
      <c r="L5" s="19" t="s">
        <v>20</v>
      </c>
      <c r="M5" s="15"/>
    </row>
    <row r="6" customFormat="false" ht="15" hidden="false" customHeight="false" outlineLevel="0" collapsed="false">
      <c r="A6" s="15" t="s">
        <v>411</v>
      </c>
      <c r="B6" s="15" t="s">
        <v>412</v>
      </c>
      <c r="C6" s="15" t="s">
        <v>409</v>
      </c>
      <c r="D6" s="15" t="s">
        <v>413</v>
      </c>
      <c r="E6" s="16" t="n">
        <v>1</v>
      </c>
      <c r="F6" s="17" t="n">
        <v>60</v>
      </c>
      <c r="G6" s="17" t="n">
        <v>120</v>
      </c>
      <c r="H6" s="18" t="n">
        <f aca="false">E6*F6</f>
        <v>60</v>
      </c>
      <c r="I6" s="18" t="n">
        <f aca="false">E6*G6</f>
        <v>120</v>
      </c>
      <c r="J6" s="19"/>
      <c r="K6" s="20"/>
      <c r="L6" s="19" t="s">
        <v>20</v>
      </c>
      <c r="M6" s="15"/>
    </row>
    <row r="7" customFormat="false" ht="15" hidden="false" customHeight="false" outlineLevel="0" collapsed="false">
      <c r="A7" s="15" t="s">
        <v>414</v>
      </c>
      <c r="B7" s="15" t="s">
        <v>415</v>
      </c>
      <c r="C7" s="15" t="s">
        <v>409</v>
      </c>
      <c r="D7" s="15" t="s">
        <v>416</v>
      </c>
      <c r="E7" s="16" t="n">
        <v>1</v>
      </c>
      <c r="F7" s="17" t="n">
        <v>40</v>
      </c>
      <c r="G7" s="17" t="n">
        <v>80</v>
      </c>
      <c r="H7" s="18" t="n">
        <f aca="false">E7*F7</f>
        <v>40</v>
      </c>
      <c r="I7" s="18" t="n">
        <f aca="false">E7*G7</f>
        <v>80</v>
      </c>
      <c r="J7" s="19"/>
      <c r="K7" s="20"/>
      <c r="L7" s="19" t="s">
        <v>20</v>
      </c>
      <c r="M7" s="15" t="s">
        <v>417</v>
      </c>
    </row>
    <row r="8" customFormat="false" ht="15" hidden="false" customHeight="false" outlineLevel="0" collapsed="false">
      <c r="A8" s="15" t="s">
        <v>418</v>
      </c>
      <c r="B8" s="15" t="s">
        <v>419</v>
      </c>
      <c r="C8" s="15" t="s">
        <v>420</v>
      </c>
      <c r="D8" s="15" t="s">
        <v>421</v>
      </c>
      <c r="E8" s="16" t="n">
        <v>1</v>
      </c>
      <c r="F8" s="17" t="n">
        <v>10</v>
      </c>
      <c r="G8" s="17" t="n">
        <v>25</v>
      </c>
      <c r="H8" s="18" t="n">
        <f aca="false">E8*F8</f>
        <v>10</v>
      </c>
      <c r="I8" s="18" t="n">
        <f aca="false">E8*G8</f>
        <v>25</v>
      </c>
      <c r="J8" s="19"/>
      <c r="K8" s="20"/>
      <c r="L8" s="19" t="s">
        <v>20</v>
      </c>
      <c r="M8" s="15"/>
    </row>
    <row r="9" customFormat="false" ht="23.85" hidden="false" customHeight="false" outlineLevel="0" collapsed="false">
      <c r="A9" s="15" t="s">
        <v>422</v>
      </c>
      <c r="B9" s="15" t="s">
        <v>423</v>
      </c>
      <c r="C9" s="15" t="s">
        <v>424</v>
      </c>
      <c r="D9" s="15" t="s">
        <v>425</v>
      </c>
      <c r="E9" s="16" t="n">
        <v>1</v>
      </c>
      <c r="F9" s="17" t="n">
        <v>40</v>
      </c>
      <c r="G9" s="17" t="n">
        <v>90</v>
      </c>
      <c r="H9" s="18" t="n">
        <f aca="false">E9*F9</f>
        <v>40</v>
      </c>
      <c r="I9" s="18" t="n">
        <f aca="false">E9*G9</f>
        <v>90</v>
      </c>
      <c r="J9" s="19"/>
      <c r="K9" s="20"/>
      <c r="L9" s="19" t="s">
        <v>20</v>
      </c>
      <c r="M9" s="15" t="s">
        <v>426</v>
      </c>
    </row>
    <row r="10" customFormat="false" ht="15" hidden="false" customHeight="false" outlineLevel="0" collapsed="false">
      <c r="A10" s="15" t="s">
        <v>427</v>
      </c>
      <c r="B10" s="15" t="s">
        <v>428</v>
      </c>
      <c r="C10" s="15" t="s">
        <v>429</v>
      </c>
      <c r="D10" s="15" t="s">
        <v>430</v>
      </c>
      <c r="E10" s="16" t="n">
        <v>1</v>
      </c>
      <c r="F10" s="17" t="n">
        <v>25</v>
      </c>
      <c r="G10" s="17" t="n">
        <v>70</v>
      </c>
      <c r="H10" s="18" t="n">
        <f aca="false">E10*F10</f>
        <v>25</v>
      </c>
      <c r="I10" s="18" t="n">
        <f aca="false">E10*G10</f>
        <v>70</v>
      </c>
      <c r="J10" s="19"/>
      <c r="K10" s="20"/>
      <c r="L10" s="19" t="s">
        <v>20</v>
      </c>
      <c r="M10" s="15" t="s">
        <v>431</v>
      </c>
    </row>
    <row r="11" customFormat="false" ht="15" hidden="false" customHeight="false" outlineLevel="0" collapsed="false">
      <c r="A11" s="15" t="s">
        <v>432</v>
      </c>
      <c r="B11" s="15" t="s">
        <v>433</v>
      </c>
      <c r="C11" s="15" t="s">
        <v>434</v>
      </c>
      <c r="D11" s="15" t="s">
        <v>435</v>
      </c>
      <c r="E11" s="16" t="n">
        <v>1</v>
      </c>
      <c r="F11" s="17" t="n">
        <v>10</v>
      </c>
      <c r="G11" s="17" t="n">
        <v>25</v>
      </c>
      <c r="H11" s="18" t="n">
        <f aca="false">E11*F11</f>
        <v>10</v>
      </c>
      <c r="I11" s="18" t="n">
        <f aca="false">E11*G11</f>
        <v>25</v>
      </c>
      <c r="J11" s="19"/>
      <c r="K11" s="20"/>
      <c r="L11" s="19" t="s">
        <v>20</v>
      </c>
      <c r="M11" s="15"/>
    </row>
    <row r="12" customFormat="false" ht="15" hidden="false" customHeight="false" outlineLevel="0" collapsed="false">
      <c r="A12" s="15" t="s">
        <v>436</v>
      </c>
      <c r="B12" s="15" t="s">
        <v>437</v>
      </c>
      <c r="C12" s="15" t="s">
        <v>438</v>
      </c>
      <c r="D12" s="15" t="s">
        <v>439</v>
      </c>
      <c r="E12" s="16" t="n">
        <v>1</v>
      </c>
      <c r="F12" s="17" t="n">
        <v>60</v>
      </c>
      <c r="G12" s="17" t="n">
        <v>110</v>
      </c>
      <c r="H12" s="18" t="n">
        <f aca="false">E12*F12</f>
        <v>60</v>
      </c>
      <c r="I12" s="18" t="n">
        <f aca="false">E12*G12</f>
        <v>110</v>
      </c>
      <c r="J12" s="19"/>
      <c r="K12" s="20"/>
      <c r="L12" s="19" t="s">
        <v>20</v>
      </c>
      <c r="M12" s="15" t="s">
        <v>440</v>
      </c>
    </row>
    <row r="13" customFormat="false" ht="23.85" hidden="false" customHeight="false" outlineLevel="0" collapsed="false">
      <c r="A13" s="15" t="s">
        <v>441</v>
      </c>
      <c r="B13" s="15" t="s">
        <v>442</v>
      </c>
      <c r="C13" s="15" t="s">
        <v>438</v>
      </c>
      <c r="D13" s="15" t="s">
        <v>443</v>
      </c>
      <c r="E13" s="16" t="n">
        <v>1</v>
      </c>
      <c r="F13" s="17" t="n">
        <v>45</v>
      </c>
      <c r="G13" s="17" t="n">
        <v>90</v>
      </c>
      <c r="H13" s="18" t="n">
        <f aca="false">E13*F13</f>
        <v>45</v>
      </c>
      <c r="I13" s="18" t="n">
        <f aca="false">E13*G13</f>
        <v>90</v>
      </c>
      <c r="J13" s="19"/>
      <c r="K13" s="20"/>
      <c r="L13" s="19" t="s">
        <v>20</v>
      </c>
      <c r="M13" s="15"/>
    </row>
    <row r="14" customFormat="false" ht="15" hidden="false" customHeight="false" outlineLevel="0" collapsed="false">
      <c r="A14" s="15" t="s">
        <v>444</v>
      </c>
      <c r="B14" s="15" t="s">
        <v>445</v>
      </c>
      <c r="C14" s="15" t="s">
        <v>438</v>
      </c>
      <c r="D14" s="15" t="s">
        <v>446</v>
      </c>
      <c r="E14" s="16" t="n">
        <v>1</v>
      </c>
      <c r="F14" s="17" t="n">
        <v>25</v>
      </c>
      <c r="G14" s="17" t="n">
        <v>50</v>
      </c>
      <c r="H14" s="18" t="n">
        <f aca="false">E14*F14</f>
        <v>25</v>
      </c>
      <c r="I14" s="18" t="n">
        <f aca="false">E14*G14</f>
        <v>50</v>
      </c>
      <c r="J14" s="19"/>
      <c r="K14" s="20"/>
      <c r="L14" s="19" t="s">
        <v>20</v>
      </c>
      <c r="M14" s="15"/>
    </row>
    <row r="15" customFormat="false" ht="15" hidden="false" customHeight="false" outlineLevel="0" collapsed="false">
      <c r="A15" s="15" t="s">
        <v>447</v>
      </c>
      <c r="B15" s="15" t="s">
        <v>448</v>
      </c>
      <c r="C15" s="15" t="s">
        <v>449</v>
      </c>
      <c r="D15" s="15" t="s">
        <v>450</v>
      </c>
      <c r="E15" s="16" t="n">
        <v>1</v>
      </c>
      <c r="F15" s="17" t="n">
        <v>40</v>
      </c>
      <c r="G15" s="17" t="n">
        <v>80</v>
      </c>
      <c r="H15" s="18" t="n">
        <f aca="false">E15*F15</f>
        <v>40</v>
      </c>
      <c r="I15" s="18" t="n">
        <f aca="false">E15*G15</f>
        <v>80</v>
      </c>
      <c r="J15" s="19"/>
      <c r="K15" s="20"/>
      <c r="L15" s="19" t="s">
        <v>20</v>
      </c>
      <c r="M15" s="15"/>
    </row>
    <row r="16" customFormat="false" ht="15" hidden="false" customHeight="false" outlineLevel="0" collapsed="false">
      <c r="A16" s="15" t="s">
        <v>451</v>
      </c>
      <c r="B16" s="15" t="s">
        <v>452</v>
      </c>
      <c r="C16" s="15" t="s">
        <v>453</v>
      </c>
      <c r="D16" s="15" t="s">
        <v>454</v>
      </c>
      <c r="E16" s="16" t="n">
        <v>1</v>
      </c>
      <c r="F16" s="17" t="n">
        <v>50</v>
      </c>
      <c r="G16" s="17" t="n">
        <v>100</v>
      </c>
      <c r="H16" s="18" t="n">
        <f aca="false">E16*F16</f>
        <v>50</v>
      </c>
      <c r="I16" s="18" t="n">
        <f aca="false">E16*G16</f>
        <v>100</v>
      </c>
      <c r="J16" s="19"/>
      <c r="K16" s="20"/>
      <c r="L16" s="19" t="s">
        <v>20</v>
      </c>
      <c r="M16" s="15"/>
    </row>
    <row r="17" customFormat="false" ht="23.85" hidden="false" customHeight="false" outlineLevel="0" collapsed="false">
      <c r="A17" s="15" t="s">
        <v>455</v>
      </c>
      <c r="B17" s="15" t="s">
        <v>456</v>
      </c>
      <c r="C17" s="15" t="s">
        <v>457</v>
      </c>
      <c r="D17" s="15" t="s">
        <v>458</v>
      </c>
      <c r="E17" s="16" t="n">
        <v>1</v>
      </c>
      <c r="F17" s="17" t="n">
        <v>50</v>
      </c>
      <c r="G17" s="17" t="n">
        <v>110</v>
      </c>
      <c r="H17" s="18" t="n">
        <f aca="false">E17*F17</f>
        <v>50</v>
      </c>
      <c r="I17" s="18" t="n">
        <f aca="false">E17*G17</f>
        <v>110</v>
      </c>
      <c r="J17" s="19"/>
      <c r="K17" s="20"/>
      <c r="L17" s="19" t="s">
        <v>20</v>
      </c>
      <c r="M17" s="15"/>
    </row>
    <row r="18" customFormat="false" ht="15" hidden="false" customHeight="false" outlineLevel="0" collapsed="false">
      <c r="A18" s="15" t="s">
        <v>459</v>
      </c>
      <c r="B18" s="15" t="s">
        <v>460</v>
      </c>
      <c r="C18" s="15" t="s">
        <v>461</v>
      </c>
      <c r="D18" s="15" t="s">
        <v>462</v>
      </c>
      <c r="E18" s="16" t="n">
        <v>1</v>
      </c>
      <c r="F18" s="17" t="n">
        <v>15</v>
      </c>
      <c r="G18" s="17" t="n">
        <v>30</v>
      </c>
      <c r="H18" s="18" t="n">
        <f aca="false">E18*F18</f>
        <v>15</v>
      </c>
      <c r="I18" s="18" t="n">
        <f aca="false">E18*G18</f>
        <v>30</v>
      </c>
      <c r="J18" s="19"/>
      <c r="K18" s="20"/>
      <c r="L18" s="19" t="s">
        <v>20</v>
      </c>
      <c r="M18" s="15"/>
    </row>
    <row r="19" customFormat="false" ht="15" hidden="false" customHeight="false" outlineLevel="0" collapsed="false">
      <c r="A19" s="15" t="s">
        <v>463</v>
      </c>
      <c r="B19" s="15" t="s">
        <v>464</v>
      </c>
      <c r="C19" s="15" t="s">
        <v>465</v>
      </c>
      <c r="D19" s="15" t="s">
        <v>466</v>
      </c>
      <c r="E19" s="16" t="n">
        <v>1</v>
      </c>
      <c r="F19" s="17" t="n">
        <v>25</v>
      </c>
      <c r="G19" s="17" t="n">
        <v>50</v>
      </c>
      <c r="H19" s="18" t="n">
        <f aca="false">E19*F19</f>
        <v>25</v>
      </c>
      <c r="I19" s="18" t="n">
        <f aca="false">E19*G19</f>
        <v>50</v>
      </c>
      <c r="J19" s="19"/>
      <c r="K19" s="20"/>
      <c r="L19" s="19" t="s">
        <v>20</v>
      </c>
      <c r="M19" s="15"/>
    </row>
    <row r="20" customFormat="false" ht="15" hidden="false" customHeight="false" outlineLevel="0" collapsed="false">
      <c r="A20" s="15" t="s">
        <v>467</v>
      </c>
      <c r="B20" s="15" t="s">
        <v>468</v>
      </c>
      <c r="C20" s="15" t="s">
        <v>434</v>
      </c>
      <c r="D20" s="15" t="s">
        <v>469</v>
      </c>
      <c r="E20" s="16" t="n">
        <v>1</v>
      </c>
      <c r="F20" s="17" t="n">
        <v>10</v>
      </c>
      <c r="G20" s="17" t="n">
        <v>20</v>
      </c>
      <c r="H20" s="18" t="n">
        <f aca="false">E20*F20</f>
        <v>10</v>
      </c>
      <c r="I20" s="18" t="n">
        <f aca="false">E20*G20</f>
        <v>20</v>
      </c>
      <c r="J20" s="19"/>
      <c r="K20" s="20"/>
      <c r="L20" s="19" t="s">
        <v>20</v>
      </c>
      <c r="M20" s="15"/>
    </row>
    <row r="21" customFormat="false" ht="15" hidden="false" customHeight="false" outlineLevel="0" collapsed="false">
      <c r="A21" s="15" t="s">
        <v>470</v>
      </c>
      <c r="B21" s="15" t="s">
        <v>471</v>
      </c>
      <c r="C21" s="15" t="s">
        <v>465</v>
      </c>
      <c r="D21" s="15" t="s">
        <v>472</v>
      </c>
      <c r="E21" s="16" t="n">
        <v>1</v>
      </c>
      <c r="F21" s="17" t="n">
        <v>20</v>
      </c>
      <c r="G21" s="17" t="n">
        <v>40</v>
      </c>
      <c r="H21" s="18" t="n">
        <f aca="false">E21*F21</f>
        <v>20</v>
      </c>
      <c r="I21" s="18" t="n">
        <f aca="false">E21*G21</f>
        <v>40</v>
      </c>
      <c r="J21" s="19"/>
      <c r="K21" s="20"/>
      <c r="L21" s="19" t="s">
        <v>20</v>
      </c>
      <c r="M21" s="15"/>
    </row>
    <row r="22" customFormat="false" ht="15" hidden="false" customHeight="false" outlineLevel="0" collapsed="false">
      <c r="A22" s="15" t="s">
        <v>473</v>
      </c>
      <c r="B22" s="15" t="s">
        <v>474</v>
      </c>
      <c r="C22" s="15" t="s">
        <v>475</v>
      </c>
      <c r="D22" s="15" t="s">
        <v>476</v>
      </c>
      <c r="E22" s="16" t="n">
        <v>1</v>
      </c>
      <c r="F22" s="17" t="n">
        <v>30</v>
      </c>
      <c r="G22" s="17" t="n">
        <v>60</v>
      </c>
      <c r="H22" s="18" t="n">
        <f aca="false">E22*F22</f>
        <v>30</v>
      </c>
      <c r="I22" s="18" t="n">
        <f aca="false">E22*G22</f>
        <v>60</v>
      </c>
      <c r="J22" s="19"/>
      <c r="K22" s="20"/>
      <c r="L22" s="19" t="s">
        <v>20</v>
      </c>
      <c r="M22" s="15"/>
    </row>
    <row r="23" customFormat="false" ht="23.85" hidden="false" customHeight="false" outlineLevel="0" collapsed="false">
      <c r="A23" s="15" t="s">
        <v>477</v>
      </c>
      <c r="B23" s="15" t="s">
        <v>478</v>
      </c>
      <c r="C23" s="15" t="s">
        <v>479</v>
      </c>
      <c r="D23" s="15" t="s">
        <v>480</v>
      </c>
      <c r="E23" s="16" t="n">
        <v>1</v>
      </c>
      <c r="F23" s="17" t="n">
        <v>20</v>
      </c>
      <c r="G23" s="17" t="n">
        <v>40</v>
      </c>
      <c r="H23" s="18" t="n">
        <f aca="false">E23*F23</f>
        <v>20</v>
      </c>
      <c r="I23" s="18" t="n">
        <f aca="false">E23*G23</f>
        <v>40</v>
      </c>
      <c r="J23" s="19"/>
      <c r="K23" s="20"/>
      <c r="L23" s="19" t="s">
        <v>20</v>
      </c>
      <c r="M23" s="15"/>
    </row>
    <row r="24" customFormat="false" ht="23.85" hidden="false" customHeight="false" outlineLevel="0" collapsed="false">
      <c r="A24" s="15" t="s">
        <v>481</v>
      </c>
      <c r="B24" s="15" t="s">
        <v>482</v>
      </c>
      <c r="C24" s="15" t="s">
        <v>483</v>
      </c>
      <c r="D24" s="15" t="s">
        <v>484</v>
      </c>
      <c r="E24" s="16" t="n">
        <v>1</v>
      </c>
      <c r="F24" s="17" t="n">
        <v>40</v>
      </c>
      <c r="G24" s="17" t="n">
        <v>100</v>
      </c>
      <c r="H24" s="18" t="n">
        <f aca="false">E24*F24</f>
        <v>40</v>
      </c>
      <c r="I24" s="18" t="n">
        <f aca="false">E24*G24</f>
        <v>100</v>
      </c>
      <c r="J24" s="19"/>
      <c r="K24" s="20"/>
      <c r="L24" s="19" t="s">
        <v>20</v>
      </c>
      <c r="M24" s="15" t="s">
        <v>485</v>
      </c>
    </row>
    <row r="25" customFormat="false" ht="15" hidden="false" customHeight="false" outlineLevel="0" collapsed="false">
      <c r="B25" s="10" t="s">
        <v>387</v>
      </c>
      <c r="H25" s="21" t="n">
        <f aca="false">SUM(H2:H24)</f>
        <v>640</v>
      </c>
      <c r="I25" s="21" t="n">
        <f aca="false">SUM(I2:I24)</f>
        <v>1340</v>
      </c>
      <c r="K25" s="21" t="n">
        <f aca="false">SUM(K2:K24)</f>
        <v>0</v>
      </c>
    </row>
  </sheetData>
  <dataValidations count="1">
    <dataValidation allowBlank="true" errorStyle="stop" operator="between" showDropDown="false" showErrorMessage="false" showInputMessage="false" sqref="L2:L24" type="list">
      <formula1>"A cotizar,Cotizado,Comprado,Recibido,Descartado"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4" min="4" style="0" width="18"/>
    <col collapsed="false" customWidth="true" hidden="false" outlineLevel="0" max="5" min="5" style="0" width="62"/>
    <col collapsed="false" customWidth="true" hidden="false" outlineLevel="0" max="6" min="6" style="0" width="28"/>
    <col collapsed="false" customWidth="true" hidden="false" outlineLevel="0" max="7" min="7" style="0" width="10"/>
  </cols>
  <sheetData>
    <row r="1" customFormat="false" ht="30" hidden="false" customHeight="true" outlineLevel="0" collapsed="false">
      <c r="A1" s="14" t="s">
        <v>486</v>
      </c>
      <c r="B1" s="14" t="s">
        <v>16</v>
      </c>
      <c r="C1" s="14" t="s">
        <v>487</v>
      </c>
      <c r="D1" s="14" t="s">
        <v>488</v>
      </c>
      <c r="E1" s="14" t="s">
        <v>489</v>
      </c>
      <c r="F1" s="14" t="s">
        <v>490</v>
      </c>
      <c r="G1" s="14" t="s">
        <v>491</v>
      </c>
    </row>
    <row r="2" customFormat="false" ht="15" hidden="false" customHeight="false" outlineLevel="0" collapsed="false">
      <c r="A2" s="15" t="s">
        <v>408</v>
      </c>
      <c r="B2" s="15" t="s">
        <v>407</v>
      </c>
      <c r="C2" s="15" t="s">
        <v>492</v>
      </c>
      <c r="D2" s="15" t="s">
        <v>493</v>
      </c>
      <c r="E2" s="15" t="s">
        <v>494</v>
      </c>
      <c r="F2" s="15" t="s">
        <v>495</v>
      </c>
      <c r="G2" s="19"/>
    </row>
    <row r="3" customFormat="false" ht="15" hidden="false" customHeight="false" outlineLevel="0" collapsed="false">
      <c r="A3" s="15" t="s">
        <v>412</v>
      </c>
      <c r="B3" s="15" t="s">
        <v>411</v>
      </c>
      <c r="C3" s="15" t="s">
        <v>496</v>
      </c>
      <c r="D3" s="15" t="s">
        <v>493</v>
      </c>
      <c r="E3" s="15" t="s">
        <v>497</v>
      </c>
      <c r="F3" s="15" t="s">
        <v>498</v>
      </c>
      <c r="G3" s="19"/>
    </row>
    <row r="4" customFormat="false" ht="23.85" hidden="false" customHeight="false" outlineLevel="0" collapsed="false">
      <c r="A4" s="15" t="s">
        <v>415</v>
      </c>
      <c r="B4" s="15" t="s">
        <v>414</v>
      </c>
      <c r="C4" s="15" t="s">
        <v>499</v>
      </c>
      <c r="D4" s="15" t="s">
        <v>500</v>
      </c>
      <c r="E4" s="15" t="s">
        <v>501</v>
      </c>
      <c r="F4" s="15" t="s">
        <v>502</v>
      </c>
      <c r="G4" s="19"/>
    </row>
    <row r="5" customFormat="false" ht="15" hidden="false" customHeight="false" outlineLevel="0" collapsed="false">
      <c r="A5" s="15" t="s">
        <v>503</v>
      </c>
      <c r="B5" s="15" t="s">
        <v>418</v>
      </c>
      <c r="C5" s="15" t="s">
        <v>492</v>
      </c>
      <c r="D5" s="15" t="s">
        <v>500</v>
      </c>
      <c r="E5" s="15" t="s">
        <v>504</v>
      </c>
      <c r="F5" s="15" t="s">
        <v>505</v>
      </c>
      <c r="G5" s="19"/>
    </row>
    <row r="6" customFormat="false" ht="15" hidden="false" customHeight="false" outlineLevel="0" collapsed="false">
      <c r="A6" s="15" t="s">
        <v>400</v>
      </c>
      <c r="B6" s="15" t="s">
        <v>399</v>
      </c>
      <c r="C6" s="15" t="s">
        <v>506</v>
      </c>
      <c r="D6" s="15" t="s">
        <v>493</v>
      </c>
      <c r="E6" s="15" t="s">
        <v>507</v>
      </c>
      <c r="F6" s="15" t="s">
        <v>508</v>
      </c>
      <c r="G6" s="19"/>
    </row>
    <row r="7" customFormat="false" ht="15" hidden="false" customHeight="false" outlineLevel="0" collapsed="false">
      <c r="A7" s="15" t="s">
        <v>405</v>
      </c>
      <c r="B7" s="15" t="s">
        <v>404</v>
      </c>
      <c r="C7" s="15" t="s">
        <v>506</v>
      </c>
      <c r="D7" s="15" t="s">
        <v>493</v>
      </c>
      <c r="E7" s="15" t="s">
        <v>509</v>
      </c>
      <c r="F7" s="15"/>
      <c r="G7" s="19"/>
    </row>
    <row r="8" customFormat="false" ht="15" hidden="false" customHeight="false" outlineLevel="0" collapsed="false">
      <c r="A8" s="15" t="s">
        <v>510</v>
      </c>
      <c r="B8" s="15" t="s">
        <v>422</v>
      </c>
      <c r="C8" s="15" t="s">
        <v>506</v>
      </c>
      <c r="D8" s="15" t="s">
        <v>493</v>
      </c>
      <c r="E8" s="15" t="s">
        <v>511</v>
      </c>
      <c r="F8" s="15" t="s">
        <v>512</v>
      </c>
      <c r="G8" s="19"/>
    </row>
    <row r="9" customFormat="false" ht="15" hidden="false" customHeight="false" outlineLevel="0" collapsed="false">
      <c r="A9" s="15" t="s">
        <v>428</v>
      </c>
      <c r="B9" s="15" t="s">
        <v>427</v>
      </c>
      <c r="C9" s="15" t="s">
        <v>499</v>
      </c>
      <c r="D9" s="15" t="s">
        <v>493</v>
      </c>
      <c r="E9" s="15" t="s">
        <v>513</v>
      </c>
      <c r="F9" s="15" t="s">
        <v>514</v>
      </c>
      <c r="G9" s="19"/>
    </row>
    <row r="10" customFormat="false" ht="15" hidden="false" customHeight="false" outlineLevel="0" collapsed="false">
      <c r="A10" s="15" t="s">
        <v>515</v>
      </c>
      <c r="B10" s="15" t="s">
        <v>432</v>
      </c>
      <c r="C10" s="15" t="s">
        <v>516</v>
      </c>
      <c r="D10" s="15" t="s">
        <v>493</v>
      </c>
      <c r="E10" s="15"/>
      <c r="F10" s="15"/>
      <c r="G10" s="19"/>
    </row>
    <row r="11" customFormat="false" ht="23.85" hidden="false" customHeight="false" outlineLevel="0" collapsed="false">
      <c r="A11" s="15" t="s">
        <v>517</v>
      </c>
      <c r="B11" s="15" t="s">
        <v>518</v>
      </c>
      <c r="C11" s="15" t="s">
        <v>519</v>
      </c>
      <c r="D11" s="15" t="s">
        <v>493</v>
      </c>
      <c r="E11" s="15" t="s">
        <v>520</v>
      </c>
      <c r="F11" s="15" t="s">
        <v>521</v>
      </c>
      <c r="G11" s="19"/>
    </row>
    <row r="12" customFormat="false" ht="23.85" hidden="false" customHeight="false" outlineLevel="0" collapsed="false">
      <c r="A12" s="15" t="s">
        <v>522</v>
      </c>
      <c r="B12" s="15" t="s">
        <v>523</v>
      </c>
      <c r="C12" s="15" t="s">
        <v>524</v>
      </c>
      <c r="D12" s="15" t="s">
        <v>525</v>
      </c>
      <c r="E12" s="15" t="s">
        <v>526</v>
      </c>
      <c r="F12" s="15"/>
      <c r="G12" s="19"/>
    </row>
    <row r="13" customFormat="false" ht="15" hidden="false" customHeight="false" outlineLevel="0" collapsed="false">
      <c r="A13" s="15" t="s">
        <v>527</v>
      </c>
      <c r="B13" s="15" t="s">
        <v>467</v>
      </c>
      <c r="C13" s="15" t="s">
        <v>506</v>
      </c>
      <c r="D13" s="15" t="s">
        <v>493</v>
      </c>
      <c r="E13" s="15"/>
      <c r="F13" s="15"/>
      <c r="G13" s="19"/>
    </row>
    <row r="14" customFormat="false" ht="15" hidden="false" customHeight="false" outlineLevel="0" collapsed="false">
      <c r="A14" s="15" t="s">
        <v>464</v>
      </c>
      <c r="B14" s="15" t="s">
        <v>463</v>
      </c>
      <c r="C14" s="15" t="s">
        <v>506</v>
      </c>
      <c r="D14" s="15" t="s">
        <v>493</v>
      </c>
      <c r="E14" s="15" t="s">
        <v>528</v>
      </c>
      <c r="F14" s="15"/>
      <c r="G14" s="19"/>
    </row>
    <row r="15" customFormat="false" ht="15" hidden="false" customHeight="false" outlineLevel="0" collapsed="false">
      <c r="A15" s="15" t="s">
        <v>529</v>
      </c>
      <c r="B15" s="15" t="s">
        <v>530</v>
      </c>
      <c r="C15" s="15" t="s">
        <v>506</v>
      </c>
      <c r="D15" s="15" t="s">
        <v>493</v>
      </c>
      <c r="E15" s="15" t="s">
        <v>531</v>
      </c>
      <c r="F15" s="15"/>
      <c r="G15" s="19"/>
    </row>
    <row r="16" customFormat="false" ht="23.85" hidden="false" customHeight="false" outlineLevel="0" collapsed="false">
      <c r="A16" s="15" t="s">
        <v>456</v>
      </c>
      <c r="B16" s="15" t="s">
        <v>532</v>
      </c>
      <c r="C16" s="15" t="s">
        <v>516</v>
      </c>
      <c r="D16" s="15" t="s">
        <v>493</v>
      </c>
      <c r="E16" s="15" t="s">
        <v>533</v>
      </c>
      <c r="F16" s="15"/>
      <c r="G16" s="19"/>
    </row>
    <row r="17" customFormat="false" ht="23.85" hidden="false" customHeight="false" outlineLevel="0" collapsed="false">
      <c r="A17" s="15" t="s">
        <v>534</v>
      </c>
      <c r="B17" s="15" t="s">
        <v>535</v>
      </c>
      <c r="C17" s="15" t="s">
        <v>536</v>
      </c>
      <c r="D17" s="15" t="s">
        <v>493</v>
      </c>
      <c r="E17" s="15"/>
      <c r="F17" s="15"/>
      <c r="G17" s="19"/>
    </row>
    <row r="18" customFormat="false" ht="15" hidden="false" customHeight="false" outlineLevel="0" collapsed="false">
      <c r="A18" s="15" t="s">
        <v>478</v>
      </c>
      <c r="B18" s="15" t="s">
        <v>477</v>
      </c>
      <c r="C18" s="15" t="s">
        <v>537</v>
      </c>
      <c r="D18" s="15" t="s">
        <v>493</v>
      </c>
      <c r="E18" s="15" t="s">
        <v>538</v>
      </c>
      <c r="F18" s="15"/>
      <c r="G18" s="19"/>
    </row>
  </sheetData>
  <dataValidations count="1">
    <dataValidation allowBlank="true" errorStyle="stop" operator="between" showDropDown="false" showErrorMessage="false" showInputMessage="false" sqref="G2:G18" type="list">
      <formula1>"Pendiente,En proceso,Terminada,Controlada"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44"/>
    <col collapsed="false" customWidth="true" hidden="false" outlineLevel="0" max="4" min="4" style="0" width="48"/>
    <col collapsed="false" customWidth="true" hidden="false" outlineLevel="0" max="6" min="5" style="0" width="14"/>
    <col collapsed="false" customWidth="true" hidden="false" outlineLevel="0" max="7" min="7" style="0" width="12"/>
  </cols>
  <sheetData>
    <row r="1" customFormat="false" ht="30" hidden="false" customHeight="true" outlineLevel="0" collapsed="false">
      <c r="A1" s="14" t="s">
        <v>539</v>
      </c>
      <c r="B1" s="14" t="s">
        <v>540</v>
      </c>
      <c r="C1" s="14" t="s">
        <v>541</v>
      </c>
      <c r="D1" s="14" t="s">
        <v>542</v>
      </c>
      <c r="E1" s="14" t="s">
        <v>543</v>
      </c>
      <c r="F1" s="14" t="s">
        <v>544</v>
      </c>
      <c r="G1" s="14" t="s">
        <v>545</v>
      </c>
    </row>
    <row r="2" customFormat="false" ht="23.85" hidden="false" customHeight="false" outlineLevel="0" collapsed="false">
      <c r="A2" s="15" t="s">
        <v>546</v>
      </c>
      <c r="B2" s="15" t="s">
        <v>547</v>
      </c>
      <c r="C2" s="15" t="s">
        <v>548</v>
      </c>
      <c r="D2" s="15" t="s">
        <v>549</v>
      </c>
      <c r="E2" s="19"/>
      <c r="F2" s="19"/>
      <c r="G2" s="19"/>
    </row>
    <row r="3" customFormat="false" ht="23.85" hidden="false" customHeight="false" outlineLevel="0" collapsed="false">
      <c r="A3" s="15" t="s">
        <v>550</v>
      </c>
      <c r="B3" s="15" t="s">
        <v>551</v>
      </c>
      <c r="C3" s="15" t="s">
        <v>552</v>
      </c>
      <c r="D3" s="15" t="s">
        <v>553</v>
      </c>
      <c r="E3" s="19"/>
      <c r="F3" s="19"/>
      <c r="G3" s="19"/>
    </row>
    <row r="4" customFormat="false" ht="15" hidden="false" customHeight="false" outlineLevel="0" collapsed="false">
      <c r="A4" s="15" t="s">
        <v>554</v>
      </c>
      <c r="B4" s="15" t="s">
        <v>555</v>
      </c>
      <c r="C4" s="15" t="s">
        <v>556</v>
      </c>
      <c r="D4" s="15" t="s">
        <v>557</v>
      </c>
      <c r="E4" s="19"/>
      <c r="F4" s="19"/>
      <c r="G4" s="19"/>
    </row>
    <row r="5" customFormat="false" ht="15" hidden="false" customHeight="false" outlineLevel="0" collapsed="false">
      <c r="A5" s="15" t="s">
        <v>558</v>
      </c>
      <c r="B5" s="15" t="s">
        <v>559</v>
      </c>
      <c r="C5" s="15" t="s">
        <v>560</v>
      </c>
      <c r="D5" s="15" t="s">
        <v>561</v>
      </c>
      <c r="E5" s="19"/>
      <c r="F5" s="19"/>
      <c r="G5" s="19"/>
    </row>
    <row r="6" customFormat="false" ht="15" hidden="false" customHeight="false" outlineLevel="0" collapsed="false">
      <c r="A6" s="15" t="s">
        <v>562</v>
      </c>
      <c r="B6" s="15" t="s">
        <v>563</v>
      </c>
      <c r="C6" s="15" t="s">
        <v>564</v>
      </c>
      <c r="D6" s="15" t="s">
        <v>565</v>
      </c>
      <c r="E6" s="19"/>
      <c r="F6" s="19"/>
      <c r="G6" s="19"/>
    </row>
    <row r="7" customFormat="false" ht="15" hidden="false" customHeight="false" outlineLevel="0" collapsed="false">
      <c r="A7" s="15" t="s">
        <v>566</v>
      </c>
      <c r="B7" s="15" t="s">
        <v>567</v>
      </c>
      <c r="C7" s="15" t="s">
        <v>568</v>
      </c>
      <c r="D7" s="15" t="s">
        <v>569</v>
      </c>
      <c r="E7" s="19"/>
      <c r="F7" s="19"/>
      <c r="G7" s="19"/>
    </row>
    <row r="9" customFormat="false" ht="15" hidden="false" customHeight="true" outlineLevel="0" collapsed="false">
      <c r="A9" s="12" t="s">
        <v>570</v>
      </c>
      <c r="B9" s="12"/>
      <c r="C9" s="12"/>
      <c r="D9" s="12"/>
      <c r="E9" s="12"/>
      <c r="F9" s="12"/>
      <c r="G9" s="12"/>
    </row>
    <row r="10" customFormat="false" ht="15" hidden="false" customHeight="true" outlineLevel="0" collapsed="false">
      <c r="A10" s="13" t="s">
        <v>571</v>
      </c>
      <c r="B10" s="13"/>
      <c r="C10" s="13"/>
      <c r="D10" s="13"/>
      <c r="E10" s="13"/>
      <c r="F10" s="13"/>
      <c r="G10" s="13"/>
    </row>
    <row r="11" customFormat="false" ht="15" hidden="false" customHeight="true" outlineLevel="0" collapsed="false">
      <c r="A11" s="13" t="s">
        <v>572</v>
      </c>
      <c r="B11" s="13"/>
      <c r="C11" s="13"/>
      <c r="D11" s="13"/>
      <c r="E11" s="13"/>
      <c r="F11" s="13"/>
      <c r="G11" s="13"/>
    </row>
  </sheetData>
  <mergeCells count="3">
    <mergeCell ref="A9:G9"/>
    <mergeCell ref="A10:G10"/>
    <mergeCell ref="A11:G11"/>
  </mergeCells>
  <dataValidations count="1">
    <dataValidation allowBlank="true" errorStyle="stop" operator="between" showDropDown="false" showErrorMessage="false" showInputMessage="false" sqref="G2:G7" type="list">
      <formula1>"Sí,No,Dudoso"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22" t="s">
        <v>573</v>
      </c>
      <c r="B1" s="23"/>
    </row>
    <row r="2" customFormat="false" ht="15" hidden="false" customHeight="false" outlineLevel="0" collapsed="false">
      <c r="A2" s="10" t="s">
        <v>574</v>
      </c>
      <c r="B2" s="24" t="s">
        <v>575</v>
      </c>
    </row>
    <row r="3" customFormat="false" ht="15" hidden="false" customHeight="false" outlineLevel="0" collapsed="false">
      <c r="A3" s="10" t="s">
        <v>576</v>
      </c>
      <c r="B3" s="23" t="s">
        <v>577</v>
      </c>
    </row>
    <row r="4" customFormat="false" ht="15" hidden="false" customHeight="false" outlineLevel="0" collapsed="false">
      <c r="A4" s="10" t="s">
        <v>578</v>
      </c>
      <c r="B4" s="23" t="s">
        <v>579</v>
      </c>
    </row>
    <row r="5" customFormat="false" ht="15" hidden="false" customHeight="false" outlineLevel="0" collapsed="false">
      <c r="A5" s="10" t="s">
        <v>42</v>
      </c>
      <c r="B5" s="23" t="s">
        <v>580</v>
      </c>
    </row>
    <row r="6" customFormat="false" ht="23.85" hidden="false" customHeight="false" outlineLevel="0" collapsed="false">
      <c r="A6" s="10" t="s">
        <v>43</v>
      </c>
      <c r="B6" s="23" t="s">
        <v>581</v>
      </c>
    </row>
    <row r="7" customFormat="false" ht="15" hidden="false" customHeight="false" outlineLevel="0" collapsed="false">
      <c r="A7" s="10" t="s">
        <v>582</v>
      </c>
      <c r="B7" s="23" t="s">
        <v>583</v>
      </c>
    </row>
    <row r="8" customFormat="false" ht="15" hidden="false" customHeight="false" outlineLevel="0" collapsed="false">
      <c r="A8" s="10"/>
      <c r="B8" s="23"/>
    </row>
    <row r="9" customFormat="false" ht="15" hidden="false" customHeight="false" outlineLevel="0" collapsed="false">
      <c r="A9" s="10" t="s">
        <v>584</v>
      </c>
      <c r="B9" s="23"/>
    </row>
    <row r="10" customFormat="false" ht="15" hidden="false" customHeight="false" outlineLevel="0" collapsed="false">
      <c r="A10" s="11" t="s">
        <v>33</v>
      </c>
      <c r="B10" s="23" t="s">
        <v>96</v>
      </c>
    </row>
    <row r="11" customFormat="false" ht="15" hidden="false" customHeight="false" outlineLevel="0" collapsed="false">
      <c r="A11" s="11" t="s">
        <v>39</v>
      </c>
      <c r="B11" s="23" t="s">
        <v>585</v>
      </c>
    </row>
    <row r="12" customFormat="false" ht="15" hidden="false" customHeight="false" outlineLevel="0" collapsed="false">
      <c r="A12" s="11" t="s">
        <v>40</v>
      </c>
      <c r="B12" s="23" t="s">
        <v>586</v>
      </c>
    </row>
    <row r="13" customFormat="false" ht="15" hidden="false" customHeight="false" outlineLevel="0" collapsed="false">
      <c r="A13" s="11" t="s">
        <v>42</v>
      </c>
      <c r="B13" s="23" t="s">
        <v>21</v>
      </c>
    </row>
    <row r="14" customFormat="false" ht="15" hidden="false" customHeight="false" outlineLevel="0" collapsed="false">
      <c r="A14" s="11" t="s">
        <v>44</v>
      </c>
      <c r="B14" s="23" t="s">
        <v>587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2026-09-24T23:58:19Z</dcterms:created>
  <dc:creator>openpyxl</dc:creator>
  <dc:description/>
  <dc:language>en-US</dc:language>
  <cp:lastModifiedBy/>
  <dcterms:modified xsi:type="dcterms:W3CDTF">2026-09-24T23:58:20Z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